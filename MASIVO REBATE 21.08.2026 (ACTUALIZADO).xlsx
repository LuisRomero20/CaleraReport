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MasivoRebate SD" sheetId="1" state="visible" r:id="rId1"/>
    <sheet name="Hoja2" sheetId="2" state="visible" r:id="rId2"/>
    <sheet name="AQP SEM34" sheetId="3" state="visible" r:id="rId3"/>
  </sheets>
  <externalReferences>
    <externalReference r:id="rId4"/>
  </externalReferences>
  <definedNames>
    <definedName name="A">#REF!</definedName>
    <definedName name="CeCos">[1]CECOS!$A$21:$B$41</definedName>
    <definedName name="PROVEEDOR">#REF!</definedName>
    <definedName name="TESA">#REF!</definedName>
    <definedName name="DatosExternos_2" localSheetId="0" hidden="1">'MasivoRebate SD'!#REF!</definedName>
    <definedName name="_xlnm._FilterDatabase" localSheetId="0" hidden="1">'MasivoRebate SD'!$A$1:$T$102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color rgb="FF00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sz val="10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FF0000"/>
      <sz val="11"/>
      <scheme val="minor"/>
    </font>
  </fonts>
  <fills count="11">
    <fill>
      <patternFill/>
    </fill>
    <fill>
      <patternFill patternType="gray125"/>
    </fill>
    <fill>
      <patternFill patternType="lightTrellis">
        <fgColor theme="0" tint="-0.1499679555650502"/>
        <bgColor theme="4" tint="0.3999755851924192"/>
      </patternFill>
    </fill>
    <fill>
      <patternFill patternType="lightTrellis">
        <fgColor theme="0" tint="-0.1499679555650502"/>
        <bgColor theme="7" tint="0.5999938962981048"/>
      </patternFill>
    </fill>
    <fill>
      <patternFill patternType="lightTrellis">
        <fgColor theme="0" tint="-0.1499679555650502"/>
        <bgColor theme="7" tint="0.3999755851924192"/>
      </patternFill>
    </fill>
    <fill>
      <patternFill patternType="lightTrellis">
        <fgColor theme="0" tint="-0.1499679555650502"/>
        <bgColor rgb="FF92D050"/>
      </patternFill>
    </fill>
    <fill>
      <patternFill patternType="lightTrellis">
        <fgColor theme="0" tint="-0.1499679555650502"/>
        <bgColor rgb="FFFFFF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0" fontId="7" fillId="0" borderId="0"/>
  </cellStyleXfs>
  <cellXfs count="46">
    <xf numFmtId="0" fontId="0" fillId="0" borderId="0" pivotButton="0" quotePrefix="0" xfId="0"/>
    <xf numFmtId="49" fontId="3" fillId="2" borderId="1" applyAlignment="1" pivotButton="0" quotePrefix="0" xfId="0">
      <alignment horizontal="center" vertical="top" wrapText="1"/>
    </xf>
    <xf numFmtId="49" fontId="3" fillId="4" borderId="1" applyAlignment="1" pivotButton="0" quotePrefix="0" xfId="0">
      <alignment horizontal="center" vertical="top"/>
    </xf>
    <xf numFmtId="49" fontId="3" fillId="6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3" fillId="2" borderId="2" applyAlignment="1" pivotButton="0" quotePrefix="0" xfId="0">
      <alignment horizontal="center" vertical="top" wrapText="1"/>
    </xf>
    <xf numFmtId="49" fontId="3" fillId="4" borderId="2" applyAlignment="1" pivotButton="0" quotePrefix="0" xfId="0">
      <alignment horizontal="center" vertical="top"/>
    </xf>
    <xf numFmtId="49" fontId="3" fillId="3" borderId="1" applyAlignment="1" pivotButton="0" quotePrefix="0" xfId="0">
      <alignment horizontal="center" vertical="top"/>
    </xf>
    <xf numFmtId="49" fontId="3" fillId="5" borderId="1" applyAlignment="1" pivotButton="0" quotePrefix="0" xfId="0">
      <alignment horizontal="center" vertical="top"/>
    </xf>
    <xf numFmtId="49" fontId="3" fillId="5" borderId="2" applyAlignment="1" pivotButton="0" quotePrefix="0" xfId="0">
      <alignment horizontal="center" vertical="top"/>
    </xf>
    <xf numFmtId="49" fontId="3" fillId="5" borderId="2" applyAlignment="1" pivotButton="0" quotePrefix="0" xfId="1">
      <alignment horizontal="center" vertical="top"/>
    </xf>
    <xf numFmtId="49" fontId="2" fillId="7" borderId="0" applyAlignment="1" pivotButton="0" quotePrefix="0" xfId="2">
      <alignment horizontal="left" vertical="top"/>
    </xf>
    <xf numFmtId="49" fontId="2" fillId="7" borderId="0" applyAlignment="1" pivotButton="0" quotePrefix="0" xfId="2">
      <alignment horizontal="center" vertical="top"/>
    </xf>
    <xf numFmtId="49" fontId="2" fillId="8" borderId="0" applyAlignment="1" pivotButton="0" quotePrefix="0" xfId="2">
      <alignment horizontal="center" vertical="top"/>
    </xf>
    <xf numFmtId="0" fontId="1" fillId="0" borderId="0" applyAlignment="1" pivotButton="0" quotePrefix="0" xfId="2">
      <alignment horizontal="left" vertical="top"/>
    </xf>
    <xf numFmtId="49" fontId="8" fillId="0" borderId="0" applyAlignment="1" pivotButton="0" quotePrefix="0" xfId="2">
      <alignment vertical="top"/>
    </xf>
    <xf numFmtId="49" fontId="8" fillId="9" borderId="0" applyAlignment="1" pivotButton="0" quotePrefix="0" xfId="2">
      <alignment vertical="top"/>
    </xf>
    <xf numFmtId="49" fontId="4" fillId="0" borderId="0" applyAlignment="1" pivotButton="0" quotePrefix="0" xfId="2">
      <alignment vertical="top"/>
    </xf>
    <xf numFmtId="49" fontId="3" fillId="6" borderId="2" applyAlignment="1" pivotButton="0" quotePrefix="0" xfId="0">
      <alignment horizontal="center" vertical="center"/>
    </xf>
    <xf numFmtId="0" fontId="0" fillId="9" borderId="0" pivotButton="0" quotePrefix="0" xfId="0"/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left"/>
    </xf>
    <xf numFmtId="49" fontId="0" fillId="0" borderId="0" pivotButton="0" quotePrefix="0" xfId="0"/>
    <xf numFmtId="49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0" fontId="10" fillId="0" borderId="0" pivotButton="0" quotePrefix="0" xfId="0"/>
    <xf numFmtId="49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0" fillId="9" borderId="0" pivotButton="0" quotePrefix="0" xfId="0"/>
    <xf numFmtId="0" fontId="0" fillId="10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left"/>
    </xf>
    <xf numFmtId="3" fontId="0" fillId="0" borderId="0" pivotButton="0" quotePrefix="0" xfId="0"/>
    <xf numFmtId="3" fontId="10" fillId="0" borderId="0" pivotButton="0" quotePrefix="0" xfId="0"/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1" fillId="9" borderId="0" pivotButton="0" quotePrefix="0" xfId="0"/>
    <xf numFmtId="0" fontId="1" fillId="9" borderId="0" applyAlignment="1" pivotButton="0" quotePrefix="0" xfId="0">
      <alignment horizontal="center"/>
    </xf>
    <xf numFmtId="0" fontId="1" fillId="9" borderId="0" applyAlignment="1" pivotButton="0" quotePrefix="0" xfId="0">
      <alignment horizontal="left"/>
    </xf>
    <xf numFmtId="3" fontId="1" fillId="0" borderId="0" pivotButton="0" quotePrefix="0" xfId="0"/>
    <xf numFmtId="1" fontId="1" fillId="0" borderId="0" applyAlignment="1" pivotButton="0" quotePrefix="0" xfId="0">
      <alignment horizontal="left"/>
    </xf>
    <xf numFmtId="0" fontId="3" fillId="5" borderId="1" applyAlignment="1" pivotButton="0" quotePrefix="0" xfId="0">
      <alignment horizontal="center" vertical="top"/>
    </xf>
    <xf numFmtId="49" fontId="10" fillId="0" borderId="0" pivotButton="0" quotePrefix="0" xfId="0"/>
  </cellXfs>
  <cellStyles count="3">
    <cellStyle name="Normal" xfId="0" builtinId="0"/>
    <cellStyle name="Millares" xfId="1" builtinId="3"/>
    <cellStyle name="Normal 3" xfId="2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Usuario_Rcom</author>
  </authors>
  <commentList>
    <comment ref="P1" authorId="0" shapeId="0">
      <text>
        <t xml:space="preserve">Usuario_Rcom:
Descripcion Centro Costo Placa, tal cual el sistema
</t>
      </text>
    </comment>
  </commentList>
</comments>
</file>

<file path=xl/comments/comment2.xml><?xml version="1.0" encoding="utf-8"?>
<comments xmlns="http://schemas.openxmlformats.org/spreadsheetml/2006/main">
  <authors>
    <author>Usuario_Rcom</author>
  </authors>
  <commentList>
    <comment ref="P1" authorId="0" shapeId="0">
      <text>
        <t xml:space="preserve">Usuario_Rcom:
Descripcion Centro Costo Placa, tal cual el sistema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Users/TTello/Downloads/RBT2025/12.25Facturas/NOVIEMBRE-1Y2/RBT-11.25-1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BT-11.25-1"/>
      <sheetName val="CTAS"/>
      <sheetName val="CECOS"/>
      <sheetName val="11.25-1 B"/>
      <sheetName val="CECOS (2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filterMode="1">
    <tabColor rgb="FF00B0F0"/>
    <outlinePr summaryBelow="1" summaryRight="1"/>
    <pageSetUpPr/>
  </sheetPr>
  <dimension ref="A1:U102"/>
  <sheetViews>
    <sheetView tabSelected="1" topLeftCell="J1" zoomScale="80" zoomScaleNormal="80" workbookViewId="0">
      <selection activeCell="P30" sqref="P30"/>
    </sheetView>
  </sheetViews>
  <sheetFormatPr baseColWidth="10" defaultColWidth="11.44140625" defaultRowHeight="14.4"/>
  <cols>
    <col width="6.109375" customWidth="1" style="5" min="1" max="1"/>
    <col width="14.6640625" customWidth="1" style="4" min="2" max="2"/>
    <col width="19.33203125" bestFit="1" customWidth="1" style="5" min="3" max="3"/>
    <col width="18.5546875" bestFit="1" customWidth="1" style="4" min="4" max="4"/>
    <col width="5.33203125" customWidth="1" style="5" min="5" max="5"/>
    <col width="18" customWidth="1" style="5" min="6" max="6"/>
    <col width="7.33203125" customWidth="1" style="5" min="7" max="7"/>
    <col width="6.6640625" customWidth="1" style="4" min="8" max="8"/>
    <col width="5.5546875" customWidth="1" style="5" min="9" max="9"/>
    <col width="6.44140625" customWidth="1" style="5" min="10" max="10"/>
    <col width="5.109375" customWidth="1" style="5" min="11" max="11"/>
    <col width="139.6640625" customWidth="1" style="5" min="12" max="12"/>
    <col width="6.33203125" customWidth="1" style="5" min="13" max="13"/>
    <col width="15" customWidth="1" style="4" min="14" max="14"/>
    <col width="51.77734375" bestFit="1" customWidth="1" style="4" min="15" max="15"/>
    <col width="12.109375" customWidth="1" style="5" min="16" max="16"/>
    <col width="10" customWidth="1" style="5" min="17" max="17"/>
    <col width="6.44140625" customWidth="1" style="5" min="18" max="18"/>
    <col width="16.88671875" bestFit="1" customWidth="1" style="5" min="19" max="19"/>
    <col width="60.44140625" customWidth="1" style="5" min="20" max="20"/>
    <col width="20" customWidth="1" min="21" max="21"/>
  </cols>
  <sheetData>
    <row r="1" ht="24" customFormat="1" customHeight="1" s="4">
      <c r="A1" s="1" t="inlineStr">
        <is>
          <t>ID CABC(1)</t>
        </is>
      </c>
      <c r="B1" s="6" t="inlineStr">
        <is>
          <t>Fecha Doc</t>
        </is>
      </c>
      <c r="C1" s="1" t="inlineStr">
        <is>
          <t>Texto Cab Doc</t>
        </is>
      </c>
      <c r="D1" s="6" t="inlineStr">
        <is>
          <t>REFERENCIA</t>
        </is>
      </c>
      <c r="E1" s="8" t="inlineStr">
        <is>
          <t>ID POSC(2)Acreedor</t>
        </is>
      </c>
      <c r="F1" s="7" t="inlineStr">
        <is>
          <t>RUC</t>
        </is>
      </c>
      <c r="G1" s="7" t="inlineStr">
        <is>
          <t>Cond Pago</t>
        </is>
      </c>
      <c r="H1" s="7" t="inlineStr">
        <is>
          <t>Ind Impto</t>
        </is>
      </c>
      <c r="I1" s="2" t="inlineStr">
        <is>
          <t>Tipo Detr</t>
        </is>
      </c>
      <c r="J1" s="2" t="inlineStr">
        <is>
          <t>Ind Detra</t>
        </is>
      </c>
      <c r="K1" s="2" t="inlineStr">
        <is>
          <t>Asignación</t>
        </is>
      </c>
      <c r="L1" s="2" t="inlineStr">
        <is>
          <t>Texto Posición</t>
        </is>
      </c>
      <c r="M1" s="9" t="inlineStr">
        <is>
          <t>ID POSC(2) Cuenta GASTO</t>
        </is>
      </c>
      <c r="N1" s="3" t="inlineStr">
        <is>
          <t>Cuenta Gasto</t>
        </is>
      </c>
      <c r="O1" s="19" t="inlineStr">
        <is>
          <t>DETALLE</t>
        </is>
      </c>
      <c r="P1" s="10" t="inlineStr">
        <is>
          <t>Centro Costo</t>
        </is>
      </c>
      <c r="Q1" s="11" t="inlineStr">
        <is>
          <t>Importe MD</t>
        </is>
      </c>
      <c r="R1" s="10" t="inlineStr">
        <is>
          <t>Ind Impto</t>
        </is>
      </c>
      <c r="S1" s="9" t="inlineStr">
        <is>
          <t>Asignación</t>
        </is>
      </c>
      <c r="T1" s="9" t="inlineStr">
        <is>
          <t>Texto Posición</t>
        </is>
      </c>
      <c r="U1" s="44" t="inlineStr">
        <is>
          <t>N° OC</t>
        </is>
      </c>
    </row>
    <row r="2" customFormat="1" s="24">
      <c r="A2" s="21" t="inlineStr">
        <is>
          <t>1</t>
        </is>
      </c>
      <c r="B2" s="4" t="inlineStr">
        <is>
          <t>31.07.2026</t>
        </is>
      </c>
      <c r="C2" s="21" t="n"/>
      <c r="D2" s="4" t="inlineStr">
        <is>
          <t>01-0F001-0056835</t>
        </is>
      </c>
      <c r="E2" s="22" t="n">
        <v>2</v>
      </c>
      <c r="F2" s="4" t="inlineStr">
        <is>
          <t>20601233488</t>
        </is>
      </c>
      <c r="G2" s="4" t="inlineStr">
        <is>
          <t>CP02</t>
        </is>
      </c>
      <c r="H2" s="4" t="inlineStr">
        <is>
          <t>C1</t>
        </is>
      </c>
      <c r="I2" s="21" t="n"/>
      <c r="J2" s="21" t="n"/>
      <c r="K2" s="21" t="n"/>
      <c r="L2" s="20" t="inlineStr">
        <is>
          <t>RBT-NO DEVOLUCION1.000-PASADOS 15 DIAS DESDE LA RECEPCIÓN DEL PRESENTE DOCUMENTO SIN FORMULARSE RECLAMO ALGUNO LO DAREMOS POR ACEPTADO JULIO 2026</t>
        </is>
      </c>
      <c r="M2" s="22" t="n">
        <v>2</v>
      </c>
      <c r="N2" s="32" t="n">
        <v>6371100005</v>
      </c>
      <c r="O2" s="33">
        <f>+_xlfn.XLOOKUP(N2,Hoja2!B:B,Hoja2!C:C,,0)</f>
        <v/>
      </c>
      <c r="P2" s="4" t="inlineStr">
        <is>
          <t>1030210002</t>
        </is>
      </c>
      <c r="Q2" s="34" t="n">
        <v>169.85</v>
      </c>
      <c r="R2" s="4" t="inlineStr">
        <is>
          <t>C1</t>
        </is>
      </c>
      <c r="S2" s="23" t="n"/>
      <c r="T2" s="24" t="inlineStr">
        <is>
          <t>RBT-NO DEVOLUCION1.000-PASADOS 15 DIAS DESDE LA RECEPCIÓN DEL PRESENTE DOCUMENTO SIN FORMULARSE RECLAMO ALGUNO LO DAREMOS POR ACEPTADO JULIO 2026</t>
        </is>
      </c>
    </row>
    <row r="3" hidden="1" customFormat="1" s="24">
      <c r="A3" s="21">
        <f>+A2+1</f>
        <v/>
      </c>
      <c r="B3" s="4" t="inlineStr">
        <is>
          <t>06.08.2026</t>
        </is>
      </c>
      <c r="C3" s="21" t="n"/>
      <c r="D3" s="4" t="inlineStr">
        <is>
          <t>01-0FA39-0027008</t>
        </is>
      </c>
      <c r="E3" s="22" t="n">
        <v>2</v>
      </c>
      <c r="F3" s="4" t="inlineStr">
        <is>
          <t>20109072177</t>
        </is>
      </c>
      <c r="G3" s="4" t="inlineStr">
        <is>
          <t>CP02</t>
        </is>
      </c>
      <c r="H3" s="4" t="inlineStr">
        <is>
          <t>C1</t>
        </is>
      </c>
      <c r="I3" s="21" t="n"/>
      <c r="J3" s="21" t="n"/>
      <c r="K3" s="21" t="n"/>
      <c r="L3" t="inlineStr">
        <is>
          <t>RBT-PROMOCIONES DIVERSAS EC - M001 PROMOCION E COMMERCE JULIO 2026</t>
        </is>
      </c>
      <c r="M3" s="22" t="n">
        <v>2</v>
      </c>
      <c r="N3" s="4" t="n">
        <v>6371100002</v>
      </c>
      <c r="O3" s="5">
        <f>+_xlfn.XLOOKUP(N3,Hoja2!B:B,Hoja2!C:C,,0)</f>
        <v/>
      </c>
      <c r="P3" s="4" t="inlineStr">
        <is>
          <t>1030210005</t>
        </is>
      </c>
      <c r="Q3" t="n">
        <v>115.64</v>
      </c>
      <c r="R3" s="4" t="inlineStr">
        <is>
          <t>C1</t>
        </is>
      </c>
      <c r="S3" s="23" t="n"/>
      <c r="T3" s="24" t="inlineStr">
        <is>
          <t>RBT-PROMOCIONES DIVERSAS EC - M001 PROMOCION E COMMERCE JULIO 2026</t>
        </is>
      </c>
    </row>
    <row r="4" hidden="1" customFormat="1" s="24">
      <c r="A4" s="21">
        <f>+A3+1</f>
        <v/>
      </c>
      <c r="B4" s="4" t="inlineStr">
        <is>
          <t>06.08.2026</t>
        </is>
      </c>
      <c r="C4" s="21" t="n"/>
      <c r="D4" s="4" t="inlineStr">
        <is>
          <t>01-0FA38-0673417</t>
        </is>
      </c>
      <c r="E4" s="22" t="n">
        <v>2</v>
      </c>
      <c r="F4" s="4" t="inlineStr">
        <is>
          <t>20109072177</t>
        </is>
      </c>
      <c r="G4" s="4" t="inlineStr">
        <is>
          <t>CP02</t>
        </is>
      </c>
      <c r="H4" s="4" t="inlineStr">
        <is>
          <t>C1</t>
        </is>
      </c>
      <c r="I4" s="21" t="n"/>
      <c r="J4" s="21" t="n"/>
      <c r="K4" s="21" t="n"/>
      <c r="L4" t="inlineStr">
        <is>
          <t>RBT-PROMOCIONES DIVERSAS - M001 JULIO 2026</t>
        </is>
      </c>
      <c r="M4" s="22" t="n">
        <v>2</v>
      </c>
      <c r="N4" s="4" t="n">
        <v>6371100002</v>
      </c>
      <c r="O4" s="5">
        <f>+_xlfn.XLOOKUP(N4,Hoja2!B:B,Hoja2!C:C,,0)</f>
        <v/>
      </c>
      <c r="P4" s="4" t="inlineStr">
        <is>
          <t>1030210005</t>
        </is>
      </c>
      <c r="Q4" t="n">
        <v>160.35</v>
      </c>
      <c r="R4" s="4" t="inlineStr">
        <is>
          <t>C1</t>
        </is>
      </c>
      <c r="S4" s="23" t="n"/>
      <c r="T4" s="24" t="inlineStr">
        <is>
          <t>RBT-PROMOCIONES DIVERSAS - M001 JULIO 2026</t>
        </is>
      </c>
    </row>
    <row r="5" hidden="1" customFormat="1" s="24">
      <c r="A5" s="21">
        <f>+A4+1</f>
        <v/>
      </c>
      <c r="B5" s="4" t="inlineStr">
        <is>
          <t>10.08.2026</t>
        </is>
      </c>
      <c r="C5" s="21" t="n"/>
      <c r="D5" s="4" t="inlineStr">
        <is>
          <t>01-0FF32-0544937</t>
        </is>
      </c>
      <c r="E5" s="22" t="n">
        <v>2</v>
      </c>
      <c r="F5" s="4" t="inlineStr">
        <is>
          <t>20508565934</t>
        </is>
      </c>
      <c r="G5" s="4" t="inlineStr">
        <is>
          <t>CP02</t>
        </is>
      </c>
      <c r="H5" s="4" t="inlineStr">
        <is>
          <t>C1</t>
        </is>
      </c>
      <c r="I5" s="21" t="n"/>
      <c r="J5" s="21" t="n"/>
      <c r="K5" s="21" t="n"/>
      <c r="L5" t="inlineStr">
        <is>
          <t>RBT-SER EVAL JULIO 2026</t>
        </is>
      </c>
      <c r="M5" s="22" t="n">
        <v>2</v>
      </c>
      <c r="N5" s="4" t="n">
        <v>6371100007</v>
      </c>
      <c r="O5" s="5">
        <f>+_xlfn.XLOOKUP(N5,Hoja2!B:B,Hoja2!C:C,,0)</f>
        <v/>
      </c>
      <c r="P5" s="4" t="inlineStr">
        <is>
          <t>1030210003</t>
        </is>
      </c>
      <c r="Q5" t="n">
        <v>47.2</v>
      </c>
      <c r="R5" s="4" t="inlineStr">
        <is>
          <t>C1</t>
        </is>
      </c>
      <c r="S5" s="23" t="n"/>
      <c r="T5" s="24" t="inlineStr">
        <is>
          <t>RBT-SER EVAL JULIO 2026</t>
        </is>
      </c>
    </row>
    <row r="6" hidden="1" customFormat="1" s="24">
      <c r="A6" s="21">
        <f>+A5+1</f>
        <v/>
      </c>
      <c r="B6" s="4" t="inlineStr">
        <is>
          <t>10.08.2026</t>
        </is>
      </c>
      <c r="C6" s="21" t="n"/>
      <c r="D6" s="4" t="inlineStr">
        <is>
          <t>01-0FF32-0544664</t>
        </is>
      </c>
      <c r="E6" s="22" t="n">
        <v>2</v>
      </c>
      <c r="F6" s="4" t="inlineStr">
        <is>
          <t>20508565934</t>
        </is>
      </c>
      <c r="G6" s="4" t="inlineStr">
        <is>
          <t>CP02</t>
        </is>
      </c>
      <c r="H6" s="4" t="inlineStr">
        <is>
          <t>C1</t>
        </is>
      </c>
      <c r="I6" s="21" t="n"/>
      <c r="J6" s="21" t="n"/>
      <c r="K6" s="21" t="n"/>
      <c r="L6" t="inlineStr">
        <is>
          <t>RBT-SO 2DO 50 CMR 13 JUL 2026</t>
        </is>
      </c>
      <c r="M6" s="22" t="n">
        <v>2</v>
      </c>
      <c r="N6" s="4" t="n">
        <v>6371100002</v>
      </c>
      <c r="O6" s="5">
        <f>+_xlfn.XLOOKUP(N6,Hoja2!B:B,Hoja2!C:C,,0)</f>
        <v/>
      </c>
      <c r="P6" s="4" t="inlineStr">
        <is>
          <t>1030210003</t>
        </is>
      </c>
      <c r="Q6" t="n">
        <v>439.44</v>
      </c>
      <c r="R6" s="4" t="inlineStr">
        <is>
          <t>C1</t>
        </is>
      </c>
      <c r="S6" s="23" t="n"/>
      <c r="T6" s="24" t="inlineStr">
        <is>
          <t>RBT-SO 2DO 50 CMR 13 JUL 2026</t>
        </is>
      </c>
    </row>
    <row r="7" customFormat="1" s="24">
      <c r="A7" s="21">
        <f>+A6+1</f>
        <v/>
      </c>
      <c r="B7" s="4" t="inlineStr">
        <is>
          <t>10.08.2026</t>
        </is>
      </c>
      <c r="C7" s="21" t="n"/>
      <c r="D7" s="4" t="inlineStr">
        <is>
          <t>01-0FF32-0544668</t>
        </is>
      </c>
      <c r="E7" s="22" t="n">
        <v>2</v>
      </c>
      <c r="F7" s="4" t="inlineStr">
        <is>
          <t>20508565934</t>
        </is>
      </c>
      <c r="G7" s="4" t="inlineStr">
        <is>
          <t>CP02</t>
        </is>
      </c>
      <c r="H7" s="4" t="inlineStr">
        <is>
          <t>C1</t>
        </is>
      </c>
      <c r="I7" s="21" t="n"/>
      <c r="J7" s="21" t="n"/>
      <c r="K7" s="21" t="n"/>
      <c r="L7" s="20" t="inlineStr">
        <is>
          <t>RBT-VENTA NOCTURNA LA CALERA TOTTUS ECOM FLC JULIO 2026</t>
        </is>
      </c>
      <c r="M7" s="22" t="n">
        <v>2</v>
      </c>
      <c r="N7" s="32" t="n">
        <v>6371100002</v>
      </c>
      <c r="O7" s="33">
        <f>+_xlfn.XLOOKUP(N7,Hoja2!B:B,Hoja2!C:C,,0)</f>
        <v/>
      </c>
      <c r="P7" s="4" t="inlineStr">
        <is>
          <t>1030210003</t>
        </is>
      </c>
      <c r="Q7" s="34" t="n">
        <v>611.4299999999999</v>
      </c>
      <c r="R7" s="4" t="inlineStr">
        <is>
          <t>C1</t>
        </is>
      </c>
      <c r="S7" s="23" t="n"/>
      <c r="T7" s="24" t="inlineStr">
        <is>
          <t>RBT-VENTA NOCTURNA LA CALERA TOTTUS ECOM FLC JULIO 2026</t>
        </is>
      </c>
    </row>
    <row r="8" hidden="1" customFormat="1" s="24">
      <c r="A8" s="21">
        <f>+A7+1</f>
        <v/>
      </c>
      <c r="B8" s="4" t="inlineStr">
        <is>
          <t>10.08.2026</t>
        </is>
      </c>
      <c r="C8" s="21" t="n"/>
      <c r="D8" s="4" t="inlineStr">
        <is>
          <t>01-0FF32-0544661</t>
        </is>
      </c>
      <c r="E8" s="22" t="n">
        <v>2</v>
      </c>
      <c r="F8" s="4" t="inlineStr">
        <is>
          <t>20508565934</t>
        </is>
      </c>
      <c r="G8" s="4" t="inlineStr">
        <is>
          <t>CP02</t>
        </is>
      </c>
      <c r="H8" s="4" t="inlineStr">
        <is>
          <t>C1</t>
        </is>
      </c>
      <c r="I8" s="21" t="n"/>
      <c r="J8" s="21" t="n"/>
      <c r="K8" s="21" t="n"/>
      <c r="L8" t="inlineStr">
        <is>
          <t>RBT-SO 2DO 50 CMR 27 JUL 2026</t>
        </is>
      </c>
      <c r="M8" s="22" t="n">
        <v>2</v>
      </c>
      <c r="N8" s="4" t="n">
        <v>6371100002</v>
      </c>
      <c r="O8" s="5">
        <f>+_xlfn.XLOOKUP(N8,Hoja2!B:B,Hoja2!C:C,,0)</f>
        <v/>
      </c>
      <c r="P8" s="4" t="inlineStr">
        <is>
          <t>1030210003</t>
        </is>
      </c>
      <c r="Q8" t="n">
        <v>527.83</v>
      </c>
      <c r="R8" s="4" t="inlineStr">
        <is>
          <t>C1</t>
        </is>
      </c>
      <c r="S8" s="23" t="n"/>
      <c r="T8" s="24" t="inlineStr">
        <is>
          <t>RBT-SO 2DO 50 CMR 27 JUL 2026</t>
        </is>
      </c>
    </row>
    <row r="9" hidden="1" customFormat="1" s="24">
      <c r="A9" s="21">
        <f>+A8+1</f>
        <v/>
      </c>
      <c r="B9" s="4" t="inlineStr">
        <is>
          <t>10.08.2026</t>
        </is>
      </c>
      <c r="C9" s="21" t="n"/>
      <c r="D9" s="4" t="inlineStr">
        <is>
          <t>01-0FF32-0544660</t>
        </is>
      </c>
      <c r="E9" s="22" t="n">
        <v>2</v>
      </c>
      <c r="F9" s="4" t="inlineStr">
        <is>
          <t>20508565934</t>
        </is>
      </c>
      <c r="G9" s="4" t="inlineStr">
        <is>
          <t>CP02</t>
        </is>
      </c>
      <c r="H9" s="4" t="inlineStr">
        <is>
          <t>C1</t>
        </is>
      </c>
      <c r="I9" s="21" t="n"/>
      <c r="J9" s="21" t="n"/>
      <c r="K9" s="21" t="n"/>
      <c r="L9" t="inlineStr">
        <is>
          <t>RBT-SO 2DO 50 CMR 20 JUL 2026</t>
        </is>
      </c>
      <c r="M9" s="22" t="n">
        <v>2</v>
      </c>
      <c r="N9" s="4" t="n">
        <v>6371100002</v>
      </c>
      <c r="O9" s="5">
        <f>+_xlfn.XLOOKUP(N9,Hoja2!B:B,Hoja2!C:C,,0)</f>
        <v/>
      </c>
      <c r="P9" s="4" t="inlineStr">
        <is>
          <t>1030210003</t>
        </is>
      </c>
      <c r="Q9" t="n">
        <v>493.31</v>
      </c>
      <c r="R9" s="4" t="inlineStr">
        <is>
          <t>C1</t>
        </is>
      </c>
      <c r="S9" s="23" t="n"/>
      <c r="T9" s="24" t="inlineStr">
        <is>
          <t>RBT-SO 2DO 50 CMR 20 JUL 2026</t>
        </is>
      </c>
    </row>
    <row r="10" customFormat="1" s="24">
      <c r="A10" s="21">
        <f>+A9+1</f>
        <v/>
      </c>
      <c r="B10" s="4" t="inlineStr">
        <is>
          <t>10.08.2026</t>
        </is>
      </c>
      <c r="C10" s="21" t="n"/>
      <c r="D10" s="4" t="inlineStr">
        <is>
          <t>01-0FF32-0544310</t>
        </is>
      </c>
      <c r="E10" s="22" t="n">
        <v>2</v>
      </c>
      <c r="F10" s="4" t="inlineStr">
        <is>
          <t>20508565934</t>
        </is>
      </c>
      <c r="G10" s="4" t="inlineStr">
        <is>
          <t>CP02</t>
        </is>
      </c>
      <c r="H10" s="4" t="inlineStr">
        <is>
          <t>C1</t>
        </is>
      </c>
      <c r="I10" s="21" t="n"/>
      <c r="J10" s="21" t="n"/>
      <c r="K10" s="21" t="n"/>
      <c r="L10" s="20" t="inlineStr">
        <is>
          <t>RBT-HS15 LA CALERA TOTTUS ECOM FLC JULIO 2026</t>
        </is>
      </c>
      <c r="M10" s="22" t="n">
        <v>2</v>
      </c>
      <c r="N10" s="32" t="n">
        <v>6371100002</v>
      </c>
      <c r="O10" s="33">
        <f>+_xlfn.XLOOKUP(N10,Hoja2!B:B,Hoja2!C:C,,0)</f>
        <v/>
      </c>
      <c r="P10" s="4" t="inlineStr">
        <is>
          <t>1030210003</t>
        </is>
      </c>
      <c r="Q10" s="34" t="n">
        <v>134.58</v>
      </c>
      <c r="R10" s="4" t="inlineStr">
        <is>
          <t>C1</t>
        </is>
      </c>
      <c r="S10" s="23" t="n"/>
      <c r="T10" s="24" t="inlineStr">
        <is>
          <t>RBT-HS15 LA CALERA TOTTUS ECOM FLC JULIO 2026</t>
        </is>
      </c>
    </row>
    <row r="11" hidden="1" customFormat="1" s="24">
      <c r="A11" s="21">
        <f>+A10+1</f>
        <v/>
      </c>
      <c r="B11" s="4" t="inlineStr">
        <is>
          <t>10.08.2026</t>
        </is>
      </c>
      <c r="C11" s="21" t="n"/>
      <c r="D11" s="4" t="inlineStr">
        <is>
          <t>01-0FF01-0153894</t>
        </is>
      </c>
      <c r="E11" s="22" t="n">
        <v>2</v>
      </c>
      <c r="F11" s="4" t="inlineStr">
        <is>
          <t>20393864886</t>
        </is>
      </c>
      <c r="G11" s="4" t="inlineStr">
        <is>
          <t>CP02</t>
        </is>
      </c>
      <c r="H11" s="4" t="inlineStr">
        <is>
          <t>C0</t>
        </is>
      </c>
      <c r="I11" s="21" t="n"/>
      <c r="J11" s="21" t="n"/>
      <c r="K11" s="21" t="n"/>
      <c r="L11" t="inlineStr">
        <is>
          <t>RBT-SO CROSS LA CALERAX30 Y AGUA 25L HS14 20 JULIO 2026</t>
        </is>
      </c>
      <c r="M11" s="22" t="n">
        <v>2</v>
      </c>
      <c r="N11" s="4" t="n">
        <v>6371100002</v>
      </c>
      <c r="O11" s="5">
        <f>+_xlfn.XLOOKUP(N11,Hoja2!B:B,Hoja2!C:C,,0)</f>
        <v/>
      </c>
      <c r="P11" s="4" t="inlineStr">
        <is>
          <t>1030210004</t>
        </is>
      </c>
      <c r="Q11" t="n">
        <v>11.43</v>
      </c>
      <c r="R11" s="4" t="inlineStr">
        <is>
          <t>C0</t>
        </is>
      </c>
      <c r="S11" s="23" t="n"/>
      <c r="T11" s="24" t="inlineStr">
        <is>
          <t>RBT-SO CROSS LA CALERAX30 Y AGUA 25L HS14 20 JULIO 2026</t>
        </is>
      </c>
    </row>
    <row r="12" hidden="1" customFormat="1" s="24">
      <c r="A12" s="21">
        <f>+A11+1</f>
        <v/>
      </c>
      <c r="B12" s="4" t="inlineStr">
        <is>
          <t>10.08.2026</t>
        </is>
      </c>
      <c r="C12" s="21" t="n"/>
      <c r="D12" s="4" t="inlineStr">
        <is>
          <t>01-0FF01-0153895</t>
        </is>
      </c>
      <c r="E12" s="22" t="n">
        <v>2</v>
      </c>
      <c r="F12" s="4" t="inlineStr">
        <is>
          <t>20393864886</t>
        </is>
      </c>
      <c r="G12" s="4" t="inlineStr">
        <is>
          <t>CP02</t>
        </is>
      </c>
      <c r="H12" s="4" t="inlineStr">
        <is>
          <t>C0</t>
        </is>
      </c>
      <c r="I12" s="21" t="n"/>
      <c r="J12" s="21" t="n"/>
      <c r="K12" s="21" t="n"/>
      <c r="L12" t="inlineStr">
        <is>
          <t>RBT-SO CROSS LA CALERAX15 Y 2 ACEITES HS14 2 JULIO 2026</t>
        </is>
      </c>
      <c r="M12" s="22" t="n">
        <v>2</v>
      </c>
      <c r="N12" s="4" t="n">
        <v>6371100002</v>
      </c>
      <c r="O12" s="5">
        <f>+_xlfn.XLOOKUP(N12,Hoja2!B:B,Hoja2!C:C,,0)</f>
        <v/>
      </c>
      <c r="P12" s="4" t="inlineStr">
        <is>
          <t>1030210004</t>
        </is>
      </c>
      <c r="Q12" t="n">
        <v>28.68</v>
      </c>
      <c r="R12" s="4" t="inlineStr">
        <is>
          <t>C0</t>
        </is>
      </c>
      <c r="S12" s="23" t="n"/>
      <c r="T12" s="24" t="inlineStr">
        <is>
          <t>RBT-SO CROSS LA CALERAX15 Y 2 ACEITES HS14 2 JULIO 2026</t>
        </is>
      </c>
    </row>
    <row r="13" hidden="1" customFormat="1" s="24">
      <c r="A13" s="21">
        <f>+A12+1</f>
        <v/>
      </c>
      <c r="B13" s="4" t="inlineStr">
        <is>
          <t>10.08.2026</t>
        </is>
      </c>
      <c r="C13" s="21" t="n"/>
      <c r="D13" s="4" t="inlineStr">
        <is>
          <t>01-0FF01-0153887</t>
        </is>
      </c>
      <c r="E13" s="22" t="n">
        <v>2</v>
      </c>
      <c r="F13" s="4" t="inlineStr">
        <is>
          <t>20393864886</t>
        </is>
      </c>
      <c r="G13" s="4" t="inlineStr">
        <is>
          <t>CP02</t>
        </is>
      </c>
      <c r="H13" s="4" t="inlineStr">
        <is>
          <t>C0</t>
        </is>
      </c>
      <c r="I13" s="21" t="n"/>
      <c r="J13" s="21" t="n"/>
      <c r="K13" s="21" t="n"/>
      <c r="L13" t="inlineStr">
        <is>
          <t>RBT-SO HVO JUMB LA CALERA 23 AL 29 JUL 2026</t>
        </is>
      </c>
      <c r="M13" s="22" t="n">
        <v>2</v>
      </c>
      <c r="N13" s="4" t="n">
        <v>6371100002</v>
      </c>
      <c r="O13" s="5">
        <f>+_xlfn.XLOOKUP(N13,Hoja2!B:B,Hoja2!C:C,,0)</f>
        <v/>
      </c>
      <c r="P13" s="4" t="inlineStr">
        <is>
          <t>1030210004</t>
        </is>
      </c>
      <c r="Q13" t="n">
        <v>40.83</v>
      </c>
      <c r="R13" s="4" t="inlineStr">
        <is>
          <t>C0</t>
        </is>
      </c>
      <c r="S13" s="23" t="n"/>
      <c r="T13" s="24" t="inlineStr">
        <is>
          <t>RBT-SO HVO JUMB LA CALERA 23 AL 29 JUL 2026</t>
        </is>
      </c>
    </row>
    <row r="14" hidden="1" customFormat="1" s="24">
      <c r="A14" s="21">
        <f>+A13+1</f>
        <v/>
      </c>
      <c r="B14" s="4" t="inlineStr">
        <is>
          <t>10.08.2026</t>
        </is>
      </c>
      <c r="C14" s="21" t="n"/>
      <c r="D14" s="4" t="inlineStr">
        <is>
          <t>01-0FF01-0153885</t>
        </is>
      </c>
      <c r="E14" s="22" t="n">
        <v>2</v>
      </c>
      <c r="F14" s="4" t="inlineStr">
        <is>
          <t>20393864886</t>
        </is>
      </c>
      <c r="G14" s="4" t="inlineStr">
        <is>
          <t>CP02</t>
        </is>
      </c>
      <c r="H14" s="4" t="inlineStr">
        <is>
          <t>C0</t>
        </is>
      </c>
      <c r="I14" s="21" t="n"/>
      <c r="J14" s="21" t="n"/>
      <c r="K14" s="21" t="n"/>
      <c r="L14" t="inlineStr">
        <is>
          <t>RBT-SO 2DO 50 CMR 27 JUL 2026</t>
        </is>
      </c>
      <c r="M14" s="22" t="n">
        <v>2</v>
      </c>
      <c r="N14" s="4" t="n">
        <v>6371100002</v>
      </c>
      <c r="O14" s="5">
        <f>+_xlfn.XLOOKUP(N14,Hoja2!B:B,Hoja2!C:C,,0)</f>
        <v/>
      </c>
      <c r="P14" s="4" t="inlineStr">
        <is>
          <t>1030210004</t>
        </is>
      </c>
      <c r="Q14" t="n">
        <v>8.52</v>
      </c>
      <c r="R14" s="4" t="inlineStr">
        <is>
          <t>C0</t>
        </is>
      </c>
      <c r="S14" s="23" t="n"/>
      <c r="T14" s="24" t="inlineStr">
        <is>
          <t>RBT-SO 2DO 50 CMR 27 JUL 2026</t>
        </is>
      </c>
    </row>
    <row r="15" hidden="1" customFormat="1" s="24">
      <c r="A15" s="21">
        <f>+A14+1</f>
        <v/>
      </c>
      <c r="B15" s="4" t="inlineStr">
        <is>
          <t>10.08.2026</t>
        </is>
      </c>
      <c r="C15" s="21" t="n"/>
      <c r="D15" s="4" t="inlineStr">
        <is>
          <t>01-0FF01-0153888</t>
        </is>
      </c>
      <c r="E15" s="22" t="n">
        <v>2</v>
      </c>
      <c r="F15" s="4" t="inlineStr">
        <is>
          <t>20393864886</t>
        </is>
      </c>
      <c r="G15" s="4" t="inlineStr">
        <is>
          <t>CP02</t>
        </is>
      </c>
      <c r="H15" s="4" t="inlineStr">
        <is>
          <t>C0</t>
        </is>
      </c>
      <c r="I15" s="21" t="n"/>
      <c r="J15" s="21" t="n"/>
      <c r="K15" s="21" t="n"/>
      <c r="L15" t="inlineStr">
        <is>
          <t>RBT-SO 2DO 50 CMR 13 JUL 2026</t>
        </is>
      </c>
      <c r="M15" s="22" t="n">
        <v>2</v>
      </c>
      <c r="N15" s="4" t="n">
        <v>6371100002</v>
      </c>
      <c r="O15" s="5">
        <f>+_xlfn.XLOOKUP(N15,Hoja2!B:B,Hoja2!C:C,,0)</f>
        <v/>
      </c>
      <c r="P15" s="4" t="inlineStr">
        <is>
          <t>1030210004</t>
        </is>
      </c>
      <c r="Q15" t="n">
        <v>7.09</v>
      </c>
      <c r="R15" s="4" t="inlineStr">
        <is>
          <t>C0</t>
        </is>
      </c>
      <c r="S15" s="23" t="n"/>
      <c r="T15" s="24" t="inlineStr">
        <is>
          <t>RBT-SO 2DO 50 CMR 13 JUL 2026</t>
        </is>
      </c>
    </row>
    <row r="16" hidden="1" customFormat="1" s="24">
      <c r="A16" s="21">
        <f>+A15+1</f>
        <v/>
      </c>
      <c r="B16" s="4" t="inlineStr">
        <is>
          <t>10.08.2026</t>
        </is>
      </c>
      <c r="C16" s="21" t="n"/>
      <c r="D16" s="4" t="inlineStr">
        <is>
          <t>01-0FF01-0153886</t>
        </is>
      </c>
      <c r="E16" s="22" t="n">
        <v>2</v>
      </c>
      <c r="F16" s="4" t="inlineStr">
        <is>
          <t>20393864886</t>
        </is>
      </c>
      <c r="G16" s="4" t="inlineStr">
        <is>
          <t>CP02</t>
        </is>
      </c>
      <c r="H16" s="4" t="inlineStr">
        <is>
          <t>C0</t>
        </is>
      </c>
      <c r="I16" s="21" t="n"/>
      <c r="J16" s="21" t="n"/>
      <c r="K16" s="21" t="n"/>
      <c r="L16" t="inlineStr">
        <is>
          <t>RBT-SO 2DO 50 CMR 20 JUL 2026</t>
        </is>
      </c>
      <c r="M16" s="22" t="n">
        <v>2</v>
      </c>
      <c r="N16" s="4" t="n">
        <v>6371100002</v>
      </c>
      <c r="O16" s="5">
        <f>+_xlfn.XLOOKUP(N16,Hoja2!B:B,Hoja2!C:C,,0)</f>
        <v/>
      </c>
      <c r="P16" s="4" t="inlineStr">
        <is>
          <t>1030210004</t>
        </is>
      </c>
      <c r="Q16" t="n">
        <v>7.96</v>
      </c>
      <c r="R16" s="4" t="inlineStr">
        <is>
          <t>C0</t>
        </is>
      </c>
      <c r="S16" s="23" t="n"/>
      <c r="T16" s="24" t="inlineStr">
        <is>
          <t>RBT-SO 2DO 50 CMR 20 JUL 2026</t>
        </is>
      </c>
    </row>
    <row r="17" hidden="1" customFormat="1" s="24">
      <c r="A17" s="21">
        <f>+A16+1</f>
        <v/>
      </c>
      <c r="B17" s="4" t="inlineStr">
        <is>
          <t>13.08.2026</t>
        </is>
      </c>
      <c r="C17" s="21" t="n"/>
      <c r="D17" s="4" t="inlineStr">
        <is>
          <t>01-0FB02-0056047</t>
        </is>
      </c>
      <c r="E17" s="22" t="n">
        <v>2</v>
      </c>
      <c r="F17" s="4" t="inlineStr">
        <is>
          <t>20602743960</t>
        </is>
      </c>
      <c r="G17" s="4" t="inlineStr">
        <is>
          <t>CP02</t>
        </is>
      </c>
      <c r="H17" s="4" t="inlineStr">
        <is>
          <t>C1</t>
        </is>
      </c>
      <c r="I17" s="21" t="n"/>
      <c r="J17" s="21" t="n"/>
      <c r="K17" s="21" t="n"/>
      <c r="L17" t="inlineStr">
        <is>
          <t>RBT-COBRO POR APERTURA DE TIENDA FAISANES JULIO 2026</t>
        </is>
      </c>
      <c r="M17" s="22" t="n">
        <v>2</v>
      </c>
      <c r="N17" s="4" t="n">
        <v>6371100009</v>
      </c>
      <c r="O17" s="5">
        <f>+_xlfn.XLOOKUP(N17,Hoja2!B:B,Hoja2!C:C,,0)</f>
        <v/>
      </c>
      <c r="P17" s="4" t="inlineStr">
        <is>
          <t>1030210008</t>
        </is>
      </c>
      <c r="Q17" t="n">
        <v>236</v>
      </c>
      <c r="R17" s="4" t="inlineStr">
        <is>
          <t>C1</t>
        </is>
      </c>
      <c r="S17" s="23" t="n"/>
      <c r="T17" s="24" t="inlineStr">
        <is>
          <t>RBT-COBRO POR APERTURA DE TIENDA FAISANES JULIO 2026</t>
        </is>
      </c>
    </row>
    <row r="18" hidden="1" customFormat="1" s="24">
      <c r="A18" s="21">
        <f>+A17+1</f>
        <v/>
      </c>
      <c r="B18" s="4" t="inlineStr">
        <is>
          <t>13.08.2026</t>
        </is>
      </c>
      <c r="C18" s="21" t="n"/>
      <c r="D18" s="4" t="inlineStr">
        <is>
          <t>01-0FB02-0056271</t>
        </is>
      </c>
      <c r="E18" s="22" t="n">
        <v>2</v>
      </c>
      <c r="F18" s="4" t="inlineStr">
        <is>
          <t>20602743960</t>
        </is>
      </c>
      <c r="G18" s="4" t="inlineStr">
        <is>
          <t>CP02</t>
        </is>
      </c>
      <c r="H18" s="4" t="inlineStr">
        <is>
          <t>C1</t>
        </is>
      </c>
      <c r="I18" s="21" t="n"/>
      <c r="J18" s="21" t="n"/>
      <c r="K18" s="21" t="n"/>
      <c r="L18" t="inlineStr">
        <is>
          <t>RBT-APORTE B2B 13 AL 31 JULIO</t>
        </is>
      </c>
      <c r="M18" s="22" t="n">
        <v>2</v>
      </c>
      <c r="N18" s="4" t="n">
        <v>6371100006</v>
      </c>
      <c r="O18" s="5">
        <f>+_xlfn.XLOOKUP(N18,Hoja2!B:B,Hoja2!C:C,,0)</f>
        <v/>
      </c>
      <c r="P18" s="4" t="inlineStr">
        <is>
          <t>1030210008</t>
        </is>
      </c>
      <c r="Q18" t="n">
        <v>660.04</v>
      </c>
      <c r="R18" s="4" t="inlineStr">
        <is>
          <t>C1</t>
        </is>
      </c>
      <c r="S18" s="23" t="n"/>
      <c r="T18" s="24" t="inlineStr">
        <is>
          <t>RBT-APORTE B2B 13 AL 31 JULIO</t>
        </is>
      </c>
    </row>
    <row r="19" hidden="1" customFormat="1" s="24">
      <c r="A19" s="21">
        <f>+A18+1</f>
        <v/>
      </c>
      <c r="B19" s="4" t="inlineStr">
        <is>
          <t>13.08.2026</t>
        </is>
      </c>
      <c r="C19" s="21" t="n"/>
      <c r="D19" s="4" t="inlineStr">
        <is>
          <t>01-0FB02-0055637</t>
        </is>
      </c>
      <c r="E19" s="22" t="n">
        <v>2</v>
      </c>
      <c r="F19" s="4" t="inlineStr">
        <is>
          <t>20602743960</t>
        </is>
      </c>
      <c r="G19" s="4" t="inlineStr">
        <is>
          <t>CP02</t>
        </is>
      </c>
      <c r="H19" s="4" t="inlineStr">
        <is>
          <t>C1</t>
        </is>
      </c>
      <c r="I19" s="21" t="n"/>
      <c r="J19" s="21" t="n"/>
      <c r="K19" s="21" t="n"/>
      <c r="L19" t="inlineStr">
        <is>
          <t>RBT-COBRO POR APERTURA DE TIENDA SKY5 JULIO 2026</t>
        </is>
      </c>
      <c r="M19" s="22" t="n">
        <v>2</v>
      </c>
      <c r="N19" s="4" t="n">
        <v>6371100009</v>
      </c>
      <c r="O19" s="5">
        <f>+_xlfn.XLOOKUP(N19,Hoja2!B:B,Hoja2!C:C,,0)</f>
        <v/>
      </c>
      <c r="P19" s="4" t="inlineStr">
        <is>
          <t>1030210008</t>
        </is>
      </c>
      <c r="Q19" t="n">
        <v>236</v>
      </c>
      <c r="R19" s="4" t="inlineStr">
        <is>
          <t>C1</t>
        </is>
      </c>
      <c r="S19" s="23" t="n"/>
      <c r="T19" s="24" t="inlineStr">
        <is>
          <t>RBT-COBRO POR APERTURA DE TIENDA SKY5 JULIO 2026</t>
        </is>
      </c>
    </row>
    <row r="20" hidden="1" customFormat="1" s="24">
      <c r="A20" s="21">
        <f>+A19+1</f>
        <v/>
      </c>
      <c r="B20" s="4" t="inlineStr">
        <is>
          <t>14.08.2026</t>
        </is>
      </c>
      <c r="C20" s="21" t="n"/>
      <c r="D20" s="4" t="inlineStr">
        <is>
          <t>01-0FB02-0056572</t>
        </is>
      </c>
      <c r="E20" s="22" t="n">
        <v>2</v>
      </c>
      <c r="F20" s="4" t="inlineStr">
        <is>
          <t>20602743960</t>
        </is>
      </c>
      <c r="G20" s="4" t="inlineStr">
        <is>
          <t>CP02</t>
        </is>
      </c>
      <c r="H20" s="4" t="inlineStr">
        <is>
          <t>C1</t>
        </is>
      </c>
      <c r="I20" s="21" t="n"/>
      <c r="J20" s="21" t="n"/>
      <c r="K20" s="21" t="n"/>
      <c r="L20" t="inlineStr">
        <is>
          <t>RBT-APORTE B2B 01 AL 13 AGOSTO</t>
        </is>
      </c>
      <c r="M20" s="22" t="n">
        <v>2</v>
      </c>
      <c r="N20" s="4" t="n">
        <v>6371100006</v>
      </c>
      <c r="O20" s="5">
        <f>+_xlfn.XLOOKUP(N20,Hoja2!B:B,Hoja2!C:C,,0)</f>
        <v/>
      </c>
      <c r="P20" s="4" t="inlineStr">
        <is>
          <t>1030210008</t>
        </is>
      </c>
      <c r="Q20" t="n">
        <v>449.56</v>
      </c>
      <c r="R20" s="4" t="inlineStr">
        <is>
          <t>C1</t>
        </is>
      </c>
      <c r="S20" s="23" t="n"/>
      <c r="T20" s="24" t="inlineStr">
        <is>
          <t>RBT-APORTE B2B 01 AL 13 AGOSTO</t>
        </is>
      </c>
    </row>
    <row r="21" hidden="1" customFormat="1" s="24">
      <c r="A21" s="21">
        <f>+A20+1</f>
        <v/>
      </c>
      <c r="B21" s="4" t="inlineStr">
        <is>
          <t>09.04.2026</t>
        </is>
      </c>
      <c r="C21" s="21" t="n"/>
      <c r="D21" s="4" t="inlineStr">
        <is>
          <t>01-0F800-0010773</t>
        </is>
      </c>
      <c r="E21" s="22" t="n">
        <v>2</v>
      </c>
      <c r="F21" s="4" t="inlineStr">
        <is>
          <t>20502257987</t>
        </is>
      </c>
      <c r="G21" s="4" t="inlineStr">
        <is>
          <t>CP02</t>
        </is>
      </c>
      <c r="H21" s="4" t="inlineStr">
        <is>
          <t>C1</t>
        </is>
      </c>
      <c r="I21" s="21" t="n"/>
      <c r="J21" s="21" t="n"/>
      <c r="K21" s="21" t="n"/>
      <c r="L21" t="inlineStr">
        <is>
          <t>RBT-REBATE FIJO MARZO</t>
        </is>
      </c>
      <c r="M21" s="22" t="n">
        <v>2</v>
      </c>
      <c r="N21" s="4" t="n">
        <v>6371100003</v>
      </c>
      <c r="O21" s="5">
        <f>+_xlfn.XLOOKUP(N21,Hoja2!B:B,Hoja2!C:C,,0)</f>
        <v/>
      </c>
      <c r="P21" s="4" t="inlineStr">
        <is>
          <t>1030210010</t>
        </is>
      </c>
      <c r="Q21" t="n">
        <v>228.31</v>
      </c>
      <c r="R21" s="4" t="inlineStr">
        <is>
          <t>C1</t>
        </is>
      </c>
      <c r="S21" s="23" t="n"/>
      <c r="T21" s="24" t="inlineStr">
        <is>
          <t>RBT-REBATE FIJO MARZO</t>
        </is>
      </c>
    </row>
    <row r="22" hidden="1">
      <c r="A22" s="21">
        <f>+A21+1</f>
        <v/>
      </c>
      <c r="B22" s="4" t="inlineStr">
        <is>
          <t>13.07.2026</t>
        </is>
      </c>
      <c r="D22" s="4" t="inlineStr">
        <is>
          <t>01-0FB02-0054965</t>
        </is>
      </c>
      <c r="E22" s="4" t="n">
        <v>2</v>
      </c>
      <c r="F22" s="4" t="inlineStr">
        <is>
          <t>20602743960</t>
        </is>
      </c>
      <c r="G22" s="4" t="inlineStr">
        <is>
          <t>CP02</t>
        </is>
      </c>
      <c r="H22" s="4" t="inlineStr">
        <is>
          <t>C1</t>
        </is>
      </c>
      <c r="L22" t="inlineStr">
        <is>
          <t>RBT-APORTE B2B 01 AL 12 JULIO</t>
        </is>
      </c>
      <c r="M22" s="4" t="n">
        <v>2</v>
      </c>
      <c r="N22" s="4" t="n">
        <v>6371100006</v>
      </c>
      <c r="O22" s="5">
        <f>+_xlfn.XLOOKUP(N22,Hoja2!B:B,Hoja2!C:C,,0)</f>
        <v/>
      </c>
      <c r="P22" s="4" t="inlineStr">
        <is>
          <t>1030210008</t>
        </is>
      </c>
      <c r="Q22" t="n">
        <v>429.76</v>
      </c>
      <c r="R22" s="4" t="inlineStr">
        <is>
          <t>C1</t>
        </is>
      </c>
      <c r="T22" s="24" t="inlineStr">
        <is>
          <t>RBT-APORTE B2B 01 AL 12 JULIO</t>
        </is>
      </c>
    </row>
    <row r="23" hidden="1">
      <c r="A23" s="21">
        <f>+A22+1</f>
        <v/>
      </c>
      <c r="B23" s="4" t="inlineStr">
        <is>
          <t>20.08.2026</t>
        </is>
      </c>
      <c r="D23" s="4" t="inlineStr">
        <is>
          <t>01-0FF32-0548112</t>
        </is>
      </c>
      <c r="E23" s="4" t="n">
        <v>2</v>
      </c>
      <c r="F23" s="4" t="inlineStr">
        <is>
          <t>20508565934</t>
        </is>
      </c>
      <c r="G23" s="4" t="inlineStr">
        <is>
          <t>CP02</t>
        </is>
      </c>
      <c r="H23" s="4" t="inlineStr">
        <is>
          <t>C1</t>
        </is>
      </c>
      <c r="L23" t="inlineStr">
        <is>
          <t>RBT-SO 2DO 50 CMR 03 AGOS 2026</t>
        </is>
      </c>
      <c r="M23" s="4" t="n">
        <v>2</v>
      </c>
      <c r="N23" s="4" t="n">
        <v>6371100002</v>
      </c>
      <c r="O23" s="5">
        <f>+_xlfn.XLOOKUP(N23,Hoja2!B:B,Hoja2!C:C,,0)</f>
        <v/>
      </c>
      <c r="P23" s="4" t="inlineStr">
        <is>
          <t>1030210003</t>
        </is>
      </c>
      <c r="Q23" t="n">
        <v>319.57</v>
      </c>
      <c r="R23" s="4" t="inlineStr">
        <is>
          <t>C1</t>
        </is>
      </c>
      <c r="T23" s="24" t="inlineStr">
        <is>
          <t>RBT-SO 2DO 50 CMR 03 AGOS 2026</t>
        </is>
      </c>
    </row>
    <row r="24" hidden="1">
      <c r="A24" s="21">
        <f>+A23+1</f>
        <v/>
      </c>
      <c r="B24" s="4" t="inlineStr">
        <is>
          <t>20.08.2026</t>
        </is>
      </c>
      <c r="D24" s="4" t="inlineStr">
        <is>
          <t>01-0FF32-0548083</t>
        </is>
      </c>
      <c r="E24" s="4" t="n">
        <v>2</v>
      </c>
      <c r="F24" s="4" t="inlineStr">
        <is>
          <t>20508565934</t>
        </is>
      </c>
      <c r="G24" s="4" t="inlineStr">
        <is>
          <t>CP02</t>
        </is>
      </c>
      <c r="H24" s="4" t="inlineStr">
        <is>
          <t>C1</t>
        </is>
      </c>
      <c r="L24" t="inlineStr">
        <is>
          <t>RBT-SO 2DO 50 CMR 10 AGOS 2026</t>
        </is>
      </c>
      <c r="M24" s="4" t="n">
        <v>2</v>
      </c>
      <c r="N24" s="4" t="n">
        <v>6371100002</v>
      </c>
      <c r="O24" s="5">
        <f>+_xlfn.XLOOKUP(N24,Hoja2!B:B,Hoja2!C:C,,0)</f>
        <v/>
      </c>
      <c r="P24" s="4" t="inlineStr">
        <is>
          <t>1030210003</t>
        </is>
      </c>
      <c r="Q24" t="n">
        <v>449.56</v>
      </c>
      <c r="R24" s="4" t="inlineStr">
        <is>
          <t>C1</t>
        </is>
      </c>
      <c r="T24" s="24" t="inlineStr">
        <is>
          <t>RBT-SO 2DO 50 CMR 10 AGOS 2026</t>
        </is>
      </c>
    </row>
    <row r="25" customFormat="1" s="27">
      <c r="A25" s="25">
        <f>+A24+1</f>
        <v/>
      </c>
      <c r="B25" s="26" t="inlineStr">
        <is>
          <t>31.05.2026</t>
        </is>
      </c>
      <c r="C25" s="27" t="inlineStr">
        <is>
          <t>02.06.2026 306305314</t>
        </is>
      </c>
      <c r="D25" s="26" t="inlineStr">
        <is>
          <t>01-0F020-0254594</t>
        </is>
      </c>
      <c r="E25" s="26" t="n">
        <v>2</v>
      </c>
      <c r="F25" s="26" t="inlineStr">
        <is>
          <t>20100070970</t>
        </is>
      </c>
      <c r="G25" s="26" t="inlineStr">
        <is>
          <t>CP02</t>
        </is>
      </c>
      <c r="H25" s="28" t="inlineStr">
        <is>
          <t>C1</t>
        </is>
      </c>
      <c r="I25" s="29" t="n"/>
      <c r="J25" s="29" t="n"/>
      <c r="K25" s="29" t="n"/>
      <c r="L25" s="27" t="inlineStr">
        <is>
          <t>RBT-INVERSION PUBLICITARIA.-RECO DIFERENCIA PESOS - 346837 MAYO 2026</t>
        </is>
      </c>
      <c r="M25" s="26" t="n">
        <v>2</v>
      </c>
      <c r="N25" s="32" t="n">
        <v>6592100001</v>
      </c>
      <c r="O25" s="33">
        <f>+_xlfn.XLOOKUP(N25,Hoja2!B:B,Hoja2!C:C,,0)</f>
        <v/>
      </c>
      <c r="P25" s="26" t="inlineStr">
        <is>
          <t>1030210001</t>
        </is>
      </c>
      <c r="Q25" s="35" t="n">
        <v>167560</v>
      </c>
      <c r="R25" s="26" t="inlineStr">
        <is>
          <t>C1</t>
        </is>
      </c>
      <c r="S25" s="29" t="n"/>
      <c r="T25" s="45" t="inlineStr">
        <is>
          <t>RBT-INVERSION PUBLICITARIA.-RECO DIFERENCIA PESOS - 346837 MAYO 2026</t>
        </is>
      </c>
    </row>
    <row r="26" customFormat="1" s="27">
      <c r="A26" s="25">
        <f>+A25+1</f>
        <v/>
      </c>
      <c r="B26" s="26" t="inlineStr">
        <is>
          <t>31.05.2026</t>
        </is>
      </c>
      <c r="C26" s="27" t="inlineStr">
        <is>
          <t>03.06.2026 306467013</t>
        </is>
      </c>
      <c r="D26" s="26" t="inlineStr">
        <is>
          <t>01-0F020-0255504</t>
        </is>
      </c>
      <c r="E26" s="26" t="n">
        <v>2</v>
      </c>
      <c r="F26" s="26" t="inlineStr">
        <is>
          <t>20100070970</t>
        </is>
      </c>
      <c r="G26" s="26" t="inlineStr">
        <is>
          <t>CP02</t>
        </is>
      </c>
      <c r="H26" s="28" t="inlineStr">
        <is>
          <t>C1</t>
        </is>
      </c>
      <c r="I26" s="29" t="n"/>
      <c r="J26" s="29" t="n"/>
      <c r="K26" s="29" t="n"/>
      <c r="L26" s="27" t="inlineStr">
        <is>
          <t>RBT-INVERSION PUBLICITARIA.-DIF PESOS HUEVOS MASS 2 - 341067 MAYO 2026</t>
        </is>
      </c>
      <c r="M26" s="26" t="n">
        <v>2</v>
      </c>
      <c r="N26" s="32" t="n">
        <v>6592100001</v>
      </c>
      <c r="O26" s="33">
        <f>+_xlfn.XLOOKUP(N26,Hoja2!B:B,Hoja2!C:C,,0)</f>
        <v/>
      </c>
      <c r="P26" s="26" t="inlineStr">
        <is>
          <t>1030210001</t>
        </is>
      </c>
      <c r="Q26" s="35" t="n">
        <v>125080</v>
      </c>
      <c r="R26" s="26" t="inlineStr">
        <is>
          <t>C1</t>
        </is>
      </c>
      <c r="S26" s="29" t="n"/>
      <c r="T26" s="45" t="inlineStr">
        <is>
          <t>RBT-INVERSION PUBLICITARIA.-DIF PESOS HUEVOS MASS 2 - 341067 MAYO 2026</t>
        </is>
      </c>
    </row>
    <row r="27" hidden="1">
      <c r="A27" s="21">
        <f>+A26+1</f>
        <v/>
      </c>
      <c r="B27" s="4" t="inlineStr">
        <is>
          <t>01.07.2026</t>
        </is>
      </c>
      <c r="C27" t="inlineStr">
        <is>
          <t>10.08.2026 312579712</t>
        </is>
      </c>
      <c r="D27" s="4" t="inlineStr">
        <is>
          <t>01-0FA38-0662036</t>
        </is>
      </c>
      <c r="E27" s="4" t="n">
        <v>2</v>
      </c>
      <c r="F27" s="4" t="inlineStr">
        <is>
          <t>20109072177</t>
        </is>
      </c>
      <c r="G27" s="4" t="inlineStr">
        <is>
          <t>CP02</t>
        </is>
      </c>
      <c r="H27" s="22" t="inlineStr">
        <is>
          <t>C1</t>
        </is>
      </c>
      <c r="L27" t="inlineStr">
        <is>
          <t>RBT-PROMOCIONES DIVERSAS EC - M001 JUNIO 2026</t>
        </is>
      </c>
      <c r="M27" s="4" t="n">
        <v>2</v>
      </c>
      <c r="N27" s="4" t="n">
        <v>6371100002</v>
      </c>
      <c r="O27" s="5">
        <f>+_xlfn.XLOOKUP(N27,Hoja2!B:B,Hoja2!C:C,,0)</f>
        <v/>
      </c>
      <c r="P27" s="4" t="inlineStr">
        <is>
          <t>1030210005</t>
        </is>
      </c>
      <c r="Q27" t="n">
        <v>9311.360000000001</v>
      </c>
      <c r="R27" s="4" t="inlineStr">
        <is>
          <t>C1</t>
        </is>
      </c>
      <c r="T27" s="24" t="inlineStr">
        <is>
          <t>RBT-PROMOCIONES DIVERSAS EC - M001 JUNIO 2026</t>
        </is>
      </c>
    </row>
    <row r="28">
      <c r="A28" s="21">
        <f>+A27+1</f>
        <v/>
      </c>
      <c r="B28" s="4" t="inlineStr">
        <is>
          <t>01.07.2026</t>
        </is>
      </c>
      <c r="C28" t="inlineStr">
        <is>
          <t>10.08.2026 312579713</t>
        </is>
      </c>
      <c r="D28" s="4" t="inlineStr">
        <is>
          <t>01-0FA38-0662037</t>
        </is>
      </c>
      <c r="E28" s="4" t="n">
        <v>2</v>
      </c>
      <c r="F28" s="4" t="inlineStr">
        <is>
          <t>20109072177</t>
        </is>
      </c>
      <c r="G28" s="4" t="inlineStr">
        <is>
          <t>CP02</t>
        </is>
      </c>
      <c r="H28" s="22" t="inlineStr">
        <is>
          <t>C1</t>
        </is>
      </c>
      <c r="L28" s="20" t="inlineStr">
        <is>
          <t>RBT-PROMOCIONES DIVERSAS - M001 AVISO DESCUENTOMETRO 26.06 al 29.06</t>
        </is>
      </c>
      <c r="M28" s="4" t="n">
        <v>2</v>
      </c>
      <c r="N28" s="32" t="n">
        <v>6371100002</v>
      </c>
      <c r="O28" s="33">
        <f>+_xlfn.XLOOKUP(N28,Hoja2!B:B,Hoja2!C:C,,0)</f>
        <v/>
      </c>
      <c r="P28" s="4" t="inlineStr">
        <is>
          <t>1030210005</t>
        </is>
      </c>
      <c r="Q28" s="34" t="n">
        <v>768.33</v>
      </c>
      <c r="R28" s="4" t="inlineStr">
        <is>
          <t>C1</t>
        </is>
      </c>
      <c r="T28" s="24" t="inlineStr">
        <is>
          <t>RBT-PROMOCIONES DIVERSAS - M001 AVISO DESCUENTOMETRO 26.06 al 29.06</t>
        </is>
      </c>
    </row>
    <row r="29" hidden="1">
      <c r="A29" s="21">
        <f>+A28+1</f>
        <v/>
      </c>
      <c r="B29" s="4" t="inlineStr">
        <is>
          <t>01.07.2026</t>
        </is>
      </c>
      <c r="C29" t="inlineStr">
        <is>
          <t>10.08.2026 312579711</t>
        </is>
      </c>
      <c r="D29" s="4" t="inlineStr">
        <is>
          <t>01-0FA38-0662035</t>
        </is>
      </c>
      <c r="E29" s="4" t="n">
        <v>2</v>
      </c>
      <c r="F29" s="4" t="inlineStr">
        <is>
          <t>20109072177</t>
        </is>
      </c>
      <c r="G29" s="4" t="inlineStr">
        <is>
          <t>CP02</t>
        </is>
      </c>
      <c r="H29" s="22" t="inlineStr">
        <is>
          <t>C1</t>
        </is>
      </c>
      <c r="L29" t="inlineStr">
        <is>
          <t>RBT-PROMOCIONES DIVERSAS EC - M001 JUNIO 2026</t>
        </is>
      </c>
      <c r="M29" s="4" t="n">
        <v>2</v>
      </c>
      <c r="N29" s="4" t="n">
        <v>6371100002</v>
      </c>
      <c r="O29" s="5">
        <f>+_xlfn.XLOOKUP(N29,Hoja2!B:B,Hoja2!C:C,,0)</f>
        <v/>
      </c>
      <c r="P29" s="4" t="inlineStr">
        <is>
          <t>1030210005</t>
        </is>
      </c>
      <c r="Q29" t="n">
        <v>3229.74</v>
      </c>
      <c r="R29" s="4" t="inlineStr">
        <is>
          <t>C1</t>
        </is>
      </c>
      <c r="T29" s="24" t="inlineStr">
        <is>
          <t>RBT-PROMOCIONES DIVERSAS EC - M001 JUNIO 2026</t>
        </is>
      </c>
    </row>
    <row r="30" customFormat="1" s="27">
      <c r="A30" s="25">
        <f>+A29+1</f>
        <v/>
      </c>
      <c r="B30" s="26" t="inlineStr">
        <is>
          <t>30.06.2026</t>
        </is>
      </c>
      <c r="C30" s="27" t="inlineStr">
        <is>
          <t>02.07.2026 308874152</t>
        </is>
      </c>
      <c r="D30" s="26" t="inlineStr">
        <is>
          <t>01-0F020-0256769</t>
        </is>
      </c>
      <c r="E30" s="26" t="n">
        <v>2</v>
      </c>
      <c r="F30" s="26" t="inlineStr">
        <is>
          <t>20100070970</t>
        </is>
      </c>
      <c r="G30" s="26" t="inlineStr">
        <is>
          <t>CP02</t>
        </is>
      </c>
      <c r="H30" s="28" t="inlineStr">
        <is>
          <t>C1</t>
        </is>
      </c>
      <c r="I30" s="29" t="n"/>
      <c r="J30" s="29" t="n"/>
      <c r="K30" s="29" t="n"/>
      <c r="L30" s="30" t="inlineStr">
        <is>
          <t>RBT-INVERSION PUBLICITARIA.-RECONOCIMIENTO COSTO  - 349669 JUNIO 2026</t>
        </is>
      </c>
      <c r="M30" s="26" t="n">
        <v>2</v>
      </c>
      <c r="N30" s="32" t="n"/>
      <c r="O30" s="33" t="n"/>
      <c r="P30" s="26" t="n">
        <v>1030210001</v>
      </c>
      <c r="Q30" s="35" t="n">
        <v>1198069.34</v>
      </c>
      <c r="R30" s="26" t="inlineStr">
        <is>
          <t>C1</t>
        </is>
      </c>
      <c r="S30" s="29" t="inlineStr">
        <is>
          <t>No aceptada</t>
        </is>
      </c>
      <c r="T30" s="45" t="inlineStr">
        <is>
          <t>RBT-INVERSION PUBLICITARIA.-RECONOCIMIENTO COSTO  - 349669 JUNIO 2026</t>
        </is>
      </c>
    </row>
    <row r="31" customFormat="1" s="27">
      <c r="A31" s="25">
        <f>+A30+1</f>
        <v/>
      </c>
      <c r="B31" s="26" t="inlineStr">
        <is>
          <t>30.06.2026</t>
        </is>
      </c>
      <c r="C31" s="27" t="inlineStr">
        <is>
          <t>02.07.2026 308874024</t>
        </is>
      </c>
      <c r="D31" s="26" t="inlineStr">
        <is>
          <t>01-0F020-0256764</t>
        </is>
      </c>
      <c r="E31" s="26" t="n">
        <v>2</v>
      </c>
      <c r="F31" s="26" t="inlineStr">
        <is>
          <t>20100070970</t>
        </is>
      </c>
      <c r="G31" s="26" t="inlineStr">
        <is>
          <t>CP02</t>
        </is>
      </c>
      <c r="H31" s="28" t="inlineStr">
        <is>
          <t>C1</t>
        </is>
      </c>
      <c r="I31" s="29" t="n"/>
      <c r="J31" s="29" t="n"/>
      <c r="K31" s="29" t="n"/>
      <c r="L31" s="30" t="inlineStr">
        <is>
          <t>RBT-INVERSION PUBLICITARIA.-RESULTADOS MUESTREO ABRIL 2026</t>
        </is>
      </c>
      <c r="M31" s="26" t="n">
        <v>2</v>
      </c>
      <c r="N31" s="32" t="n">
        <v>6592100001</v>
      </c>
      <c r="O31" s="33">
        <f>+_xlfn.XLOOKUP(N31,Hoja2!B:B,Hoja2!C:C,,0)</f>
        <v/>
      </c>
      <c r="P31" s="26" t="inlineStr">
        <is>
          <t>1030210001</t>
        </is>
      </c>
      <c r="Q31" s="35" t="n">
        <v>522170.06</v>
      </c>
      <c r="R31" s="26" t="inlineStr">
        <is>
          <t>C1</t>
        </is>
      </c>
      <c r="S31" s="29" t="n"/>
      <c r="T31" s="45" t="inlineStr">
        <is>
          <t>RBT-INVERSION PUBLICITARIA.-RESULTADOS MUESTREO ABRIL 2026</t>
        </is>
      </c>
    </row>
    <row r="32">
      <c r="A32" s="21">
        <f>+A31+1</f>
        <v/>
      </c>
      <c r="B32" s="4" t="inlineStr">
        <is>
          <t>30.06.2026</t>
        </is>
      </c>
      <c r="C32" t="inlineStr">
        <is>
          <t>02.07.2026 308874149</t>
        </is>
      </c>
      <c r="D32" s="4" t="inlineStr">
        <is>
          <t>01-0F020-0256762</t>
        </is>
      </c>
      <c r="E32" s="4" t="n">
        <v>2</v>
      </c>
      <c r="F32" s="4" t="inlineStr">
        <is>
          <t>20100070970</t>
        </is>
      </c>
      <c r="G32" s="4" t="inlineStr">
        <is>
          <t>CP02</t>
        </is>
      </c>
      <c r="H32" s="22" t="inlineStr">
        <is>
          <t>C1</t>
        </is>
      </c>
      <c r="L32" s="20" t="inlineStr">
        <is>
          <t>RBT-INVERSION PUBLICITARIA.-RESULTADO MUESTRO MAYO 2026</t>
        </is>
      </c>
      <c r="M32" s="4" t="n">
        <v>2</v>
      </c>
      <c r="N32" s="32" t="n">
        <v>6592100001</v>
      </c>
      <c r="O32" s="33">
        <f>+_xlfn.XLOOKUP(N32,Hoja2!B:B,Hoja2!C:C,,0)</f>
        <v/>
      </c>
      <c r="P32" s="4" t="inlineStr">
        <is>
          <t>1030210001</t>
        </is>
      </c>
      <c r="Q32" s="34" t="n">
        <v>563093.64</v>
      </c>
      <c r="R32" s="4" t="inlineStr">
        <is>
          <t>C1</t>
        </is>
      </c>
      <c r="S32" s="29" t="n"/>
      <c r="T32" s="24" t="inlineStr">
        <is>
          <t>RBT-INVERSION PUBLICITARIA.-RESULTADO MUESTRO MAYO 2026</t>
        </is>
      </c>
    </row>
    <row r="33" hidden="1">
      <c r="A33" s="21">
        <f>+A32+1</f>
        <v/>
      </c>
      <c r="B33" s="4" t="inlineStr">
        <is>
          <t>30.06.2026</t>
        </is>
      </c>
      <c r="C33" t="inlineStr">
        <is>
          <t>18.08.2026 313050681</t>
        </is>
      </c>
      <c r="D33" s="4" t="inlineStr">
        <is>
          <t>01-0F300-0000674</t>
        </is>
      </c>
      <c r="E33" s="4" t="n">
        <v>2</v>
      </c>
      <c r="F33" s="4" t="inlineStr">
        <is>
          <t>20563468646</t>
        </is>
      </c>
      <c r="G33" s="4" t="inlineStr">
        <is>
          <t>CP02</t>
        </is>
      </c>
      <c r="H33" s="22" t="inlineStr">
        <is>
          <t>C1</t>
        </is>
      </c>
      <c r="L33" t="inlineStr">
        <is>
          <t>RBT-NO DEVOLUCION JUNIO 2026</t>
        </is>
      </c>
      <c r="M33" s="4" t="n">
        <v>2</v>
      </c>
      <c r="N33" s="4" t="n">
        <v>6371100005</v>
      </c>
      <c r="O33" s="5">
        <f>+_xlfn.XLOOKUP(N33,Hoja2!B:B,Hoja2!C:C,,0)</f>
        <v/>
      </c>
      <c r="P33" s="4" t="inlineStr">
        <is>
          <t>1030210016</t>
        </is>
      </c>
      <c r="Q33" t="n">
        <v>1483.56</v>
      </c>
      <c r="R33" s="4" t="inlineStr">
        <is>
          <t>C1</t>
        </is>
      </c>
      <c r="T33" s="24" t="inlineStr">
        <is>
          <t>RBT-NO DEVOLUCION JUNIO 2026</t>
        </is>
      </c>
    </row>
    <row r="34" hidden="1">
      <c r="A34" s="21">
        <f>+A33+1</f>
        <v/>
      </c>
      <c r="B34" s="4" t="inlineStr">
        <is>
          <t>30.06.2026</t>
        </is>
      </c>
      <c r="C34" t="inlineStr">
        <is>
          <t>18.08.2026 313050690</t>
        </is>
      </c>
      <c r="D34" s="4" t="inlineStr">
        <is>
          <t>01-0F300-0000599</t>
        </is>
      </c>
      <c r="E34" s="4" t="n">
        <v>2</v>
      </c>
      <c r="F34" s="4" t="inlineStr">
        <is>
          <t>20563468646</t>
        </is>
      </c>
      <c r="G34" s="4" t="inlineStr">
        <is>
          <t>CP02</t>
        </is>
      </c>
      <c r="H34" s="22" t="inlineStr">
        <is>
          <t>C1</t>
        </is>
      </c>
      <c r="L34" t="inlineStr">
        <is>
          <t>RBT-REBATE JUNIO 2026</t>
        </is>
      </c>
      <c r="M34" s="4" t="n">
        <v>2</v>
      </c>
      <c r="N34" s="4" t="n">
        <v>6371100003</v>
      </c>
      <c r="O34" s="5">
        <f>+_xlfn.XLOOKUP(N34,Hoja2!B:B,Hoja2!C:C,,0)</f>
        <v/>
      </c>
      <c r="P34" s="4" t="inlineStr">
        <is>
          <t>1030210016</t>
        </is>
      </c>
      <c r="Q34" t="n">
        <v>1483.56</v>
      </c>
      <c r="R34" s="4" t="inlineStr">
        <is>
          <t>C1</t>
        </is>
      </c>
      <c r="T34" s="24" t="inlineStr">
        <is>
          <t>RBT-REBATE JUNIO 2026</t>
        </is>
      </c>
    </row>
    <row r="35" hidden="1">
      <c r="A35" s="21">
        <f>+A34+1</f>
        <v/>
      </c>
      <c r="B35" s="4" t="inlineStr">
        <is>
          <t>06.07.2026</t>
        </is>
      </c>
      <c r="C35" t="inlineStr">
        <is>
          <t>10.07.2026 310157610</t>
        </is>
      </c>
      <c r="D35" s="4" t="inlineStr">
        <is>
          <t>01-0FA39-0026490</t>
        </is>
      </c>
      <c r="E35" s="4" t="n">
        <v>2</v>
      </c>
      <c r="F35" s="4" t="inlineStr">
        <is>
          <t>20109072177</t>
        </is>
      </c>
      <c r="G35" s="4" t="inlineStr">
        <is>
          <t>CP02</t>
        </is>
      </c>
      <c r="H35" s="22" t="inlineStr">
        <is>
          <t>C1</t>
        </is>
      </c>
      <c r="L35" t="inlineStr">
        <is>
          <t>RBT-PROMOCIONES DIVERSAS - M001 JUNIO 2026</t>
        </is>
      </c>
      <c r="M35" s="4" t="n">
        <v>2</v>
      </c>
      <c r="N35" s="4" t="n">
        <v>6371100002</v>
      </c>
      <c r="O35" s="5">
        <f>+_xlfn.XLOOKUP(N35,Hoja2!B:B,Hoja2!C:C,,0)</f>
        <v/>
      </c>
      <c r="P35" s="4" t="inlineStr">
        <is>
          <t>1030210005</t>
        </is>
      </c>
      <c r="Q35" t="n">
        <v>10716.24</v>
      </c>
      <c r="R35" s="4" t="inlineStr">
        <is>
          <t>C1</t>
        </is>
      </c>
      <c r="T35" s="24" t="inlineStr">
        <is>
          <t>RBT-PROMOCIONES DIVERSAS - M001 JUNIO 2026</t>
        </is>
      </c>
    </row>
    <row r="36" hidden="1">
      <c r="A36" s="21">
        <f>+A35+1</f>
        <v/>
      </c>
      <c r="B36" s="4" t="inlineStr">
        <is>
          <t>06.07.2026</t>
        </is>
      </c>
      <c r="C36" t="inlineStr">
        <is>
          <t>10.07.2026 310157607</t>
        </is>
      </c>
      <c r="D36" s="4" t="inlineStr">
        <is>
          <t>01-0FA39-0026492</t>
        </is>
      </c>
      <c r="E36" s="4" t="n">
        <v>2</v>
      </c>
      <c r="F36" s="4" t="inlineStr">
        <is>
          <t>20109072177</t>
        </is>
      </c>
      <c r="G36" s="4" t="inlineStr">
        <is>
          <t>CP02</t>
        </is>
      </c>
      <c r="H36" s="22" t="inlineStr">
        <is>
          <t>C1</t>
        </is>
      </c>
      <c r="L36" t="inlineStr">
        <is>
          <t>RBT-PROMOCIONES DIVERSAS - M001 JUNIO 2026</t>
        </is>
      </c>
      <c r="M36" s="4" t="n">
        <v>2</v>
      </c>
      <c r="N36" s="4" t="n">
        <v>6371100002</v>
      </c>
      <c r="O36" s="5">
        <f>+_xlfn.XLOOKUP(N36,Hoja2!B:B,Hoja2!C:C,,0)</f>
        <v/>
      </c>
      <c r="P36" s="4" t="inlineStr">
        <is>
          <t>1030210005</t>
        </is>
      </c>
      <c r="Q36" t="n">
        <v>1587.69</v>
      </c>
      <c r="R36" s="4" t="inlineStr">
        <is>
          <t>C1</t>
        </is>
      </c>
      <c r="T36" s="24" t="inlineStr">
        <is>
          <t>RBT-PROMOCIONES DIVERSAS - M001 JUNIO 2026</t>
        </is>
      </c>
    </row>
    <row r="37" hidden="1">
      <c r="A37" s="21">
        <f>+A36+1</f>
        <v/>
      </c>
      <c r="B37" s="4" t="inlineStr">
        <is>
          <t>06.07.2026</t>
        </is>
      </c>
      <c r="C37" t="inlineStr">
        <is>
          <t>10.07.2026 310157598</t>
        </is>
      </c>
      <c r="D37" s="4" t="inlineStr">
        <is>
          <t>01-0FA38-0663856</t>
        </is>
      </c>
      <c r="E37" s="4" t="n">
        <v>2</v>
      </c>
      <c r="F37" s="4" t="inlineStr">
        <is>
          <t>20109072177</t>
        </is>
      </c>
      <c r="G37" s="4" t="inlineStr">
        <is>
          <t>CP02</t>
        </is>
      </c>
      <c r="H37" s="22" t="inlineStr">
        <is>
          <t>C1</t>
        </is>
      </c>
      <c r="L37" t="inlineStr">
        <is>
          <t>RBT-PROMOCIONES DIVERSAS - M001 JUNIO 2026</t>
        </is>
      </c>
      <c r="M37" s="4" t="n">
        <v>2</v>
      </c>
      <c r="N37" s="4" t="n">
        <v>6371100002</v>
      </c>
      <c r="O37" s="5">
        <f>+_xlfn.XLOOKUP(N37,Hoja2!B:B,Hoja2!C:C,,0)</f>
        <v/>
      </c>
      <c r="P37" s="4" t="inlineStr">
        <is>
          <t>1030210005</t>
        </is>
      </c>
      <c r="Q37" t="n">
        <v>9279.57</v>
      </c>
      <c r="R37" s="4" t="inlineStr">
        <is>
          <t>C1</t>
        </is>
      </c>
      <c r="T37" s="24" t="inlineStr">
        <is>
          <t>RBT-PROMOCIONES DIVERSAS - M001 JUNIO 2026</t>
        </is>
      </c>
    </row>
    <row r="38" hidden="1">
      <c r="A38" s="21">
        <f>+A37+1</f>
        <v/>
      </c>
      <c r="B38" s="4" t="inlineStr">
        <is>
          <t>06.07.2026</t>
        </is>
      </c>
      <c r="C38" t="inlineStr">
        <is>
          <t>10.07.2026 310157600</t>
        </is>
      </c>
      <c r="D38" s="4" t="inlineStr">
        <is>
          <t>01-0FA38-0663857</t>
        </is>
      </c>
      <c r="E38" s="4" t="n">
        <v>2</v>
      </c>
      <c r="F38" s="4" t="inlineStr">
        <is>
          <t>20109072177</t>
        </is>
      </c>
      <c r="G38" s="4" t="inlineStr">
        <is>
          <t>CP02</t>
        </is>
      </c>
      <c r="H38" s="22" t="inlineStr">
        <is>
          <t>C1</t>
        </is>
      </c>
      <c r="L38" t="inlineStr">
        <is>
          <t>RBT-PROMOCIONES DIVERSAS - M001 JUNIO 2026</t>
        </is>
      </c>
      <c r="M38" s="4" t="n">
        <v>2</v>
      </c>
      <c r="N38" s="4" t="n">
        <v>6371100002</v>
      </c>
      <c r="O38" s="5">
        <f>+_xlfn.XLOOKUP(N38,Hoja2!B:B,Hoja2!C:C,,0)</f>
        <v/>
      </c>
      <c r="P38" s="4" t="inlineStr">
        <is>
          <t>1030210005</t>
        </is>
      </c>
      <c r="Q38" t="n">
        <v>1196.52</v>
      </c>
      <c r="R38" s="4" t="inlineStr">
        <is>
          <t>C1</t>
        </is>
      </c>
      <c r="T38" s="24" t="inlineStr">
        <is>
          <t>RBT-PROMOCIONES DIVERSAS - M001 JUNIO 2026</t>
        </is>
      </c>
    </row>
    <row r="39" hidden="1">
      <c r="A39" s="21">
        <f>+A38+1</f>
        <v/>
      </c>
      <c r="B39" s="4" t="inlineStr">
        <is>
          <t>05.07.2026</t>
        </is>
      </c>
      <c r="C39" t="inlineStr">
        <is>
          <t>07.07.2026 309717925</t>
        </is>
      </c>
      <c r="D39" s="4" t="inlineStr">
        <is>
          <t>01-0FA38-0663755</t>
        </is>
      </c>
      <c r="E39" s="4" t="n">
        <v>2</v>
      </c>
      <c r="F39" s="4" t="inlineStr">
        <is>
          <t>20109072177</t>
        </is>
      </c>
      <c r="G39" s="4" t="inlineStr">
        <is>
          <t>CP02</t>
        </is>
      </c>
      <c r="H39" s="22" t="inlineStr">
        <is>
          <t>C1</t>
        </is>
      </c>
      <c r="L39" t="inlineStr">
        <is>
          <t>RBT-DESARROLLO COMERCIAL - M001 Periodo del 01.07.2026 al 05.07.2026</t>
        </is>
      </c>
      <c r="M39" s="4" t="n">
        <v>2</v>
      </c>
      <c r="N39" s="4" t="n">
        <v>6371100002</v>
      </c>
      <c r="O39" s="5">
        <f>+_xlfn.XLOOKUP(N39,Hoja2!B:B,Hoja2!C:C,,0)</f>
        <v/>
      </c>
      <c r="P39" s="4" t="inlineStr">
        <is>
          <t>1030210005</t>
        </is>
      </c>
      <c r="Q39" t="n">
        <v>38085.29</v>
      </c>
      <c r="R39" s="4" t="inlineStr">
        <is>
          <t>C1</t>
        </is>
      </c>
      <c r="T39" s="24" t="inlineStr">
        <is>
          <t>RBT-DESARROLLO COMERCIAL - M001 Periodo del 01.07.2026 al 05.07.2026</t>
        </is>
      </c>
    </row>
    <row r="40" hidden="1">
      <c r="A40" s="21">
        <f>+A39+1</f>
        <v/>
      </c>
      <c r="B40" s="4" t="inlineStr">
        <is>
          <t>08.07.2026</t>
        </is>
      </c>
      <c r="C40" t="inlineStr">
        <is>
          <t>22.07.2026 310747871</t>
        </is>
      </c>
      <c r="D40" s="4" t="inlineStr">
        <is>
          <t>01-0FF32-0539598</t>
        </is>
      </c>
      <c r="E40" s="4" t="n">
        <v>2</v>
      </c>
      <c r="F40" s="4" t="inlineStr">
        <is>
          <t>20508565934</t>
        </is>
      </c>
      <c r="G40" s="4" t="inlineStr">
        <is>
          <t>CP02</t>
        </is>
      </c>
      <c r="H40" s="22" t="inlineStr">
        <is>
          <t>C1</t>
        </is>
      </c>
      <c r="L40" t="inlineStr">
        <is>
          <t>RBT-RAPPEL FIJO JUNIO 2026</t>
        </is>
      </c>
      <c r="M40" s="4" t="n">
        <v>2</v>
      </c>
      <c r="N40" s="4" t="n">
        <v>6371100003</v>
      </c>
      <c r="O40" s="5">
        <f>+_xlfn.XLOOKUP(N40,Hoja2!B:B,Hoja2!C:C,,0)</f>
        <v/>
      </c>
      <c r="P40" s="4" t="inlineStr">
        <is>
          <t>1030210003</t>
        </is>
      </c>
      <c r="Q40" t="n">
        <v>161820.29</v>
      </c>
      <c r="R40" s="4" t="inlineStr">
        <is>
          <t>C1</t>
        </is>
      </c>
      <c r="T40" s="24" t="inlineStr">
        <is>
          <t>RBT-RAPPEL FIJO JUNIO 2026</t>
        </is>
      </c>
    </row>
    <row r="41">
      <c r="A41" s="21">
        <f>+A40+1</f>
        <v/>
      </c>
      <c r="B41" s="4" t="inlineStr">
        <is>
          <t>15.06.2026</t>
        </is>
      </c>
      <c r="C41" t="inlineStr">
        <is>
          <t>07.07.2026 309684354</t>
        </is>
      </c>
      <c r="D41" s="4" t="inlineStr">
        <is>
          <t>01-0E001-0001081</t>
        </is>
      </c>
      <c r="E41" s="4" t="n">
        <v>2</v>
      </c>
      <c r="F41" s="4" t="inlineStr">
        <is>
          <t>20612232203</t>
        </is>
      </c>
      <c r="G41" s="4" t="inlineStr">
        <is>
          <t>CP02</t>
        </is>
      </c>
      <c r="H41" s="22" t="inlineStr">
        <is>
          <t>C1</t>
        </is>
      </c>
      <c r="L41" s="20" t="inlineStr">
        <is>
          <t>RBT-PROMOCIONAL HUEVO MAYO 2026</t>
        </is>
      </c>
      <c r="M41" s="4" t="n">
        <v>2</v>
      </c>
      <c r="N41" s="32" t="n">
        <v>6371100003</v>
      </c>
      <c r="O41" s="33" t="inlineStr">
        <is>
          <t>GASTOS DE PROMOCION Y PUBLICIDAD-REBATE FIJO (FIJO)</t>
        </is>
      </c>
      <c r="P41" s="4" t="n">
        <v>1030210019</v>
      </c>
      <c r="Q41" s="34" t="n">
        <v>45764.28</v>
      </c>
      <c r="R41" s="4" t="inlineStr">
        <is>
          <t>C1</t>
        </is>
      </c>
      <c r="T41" s="24" t="inlineStr">
        <is>
          <t>RBT-PROMOCIONAL HUEVO MAYO 2026</t>
        </is>
      </c>
    </row>
    <row r="42" hidden="1">
      <c r="A42" s="21">
        <f>+A41+1</f>
        <v/>
      </c>
      <c r="B42" s="4" t="inlineStr">
        <is>
          <t>08.07.2026</t>
        </is>
      </c>
      <c r="C42" t="inlineStr">
        <is>
          <t>22.07.2026 310747708</t>
        </is>
      </c>
      <c r="D42" s="4" t="inlineStr">
        <is>
          <t>01-0FF32-0539492</t>
        </is>
      </c>
      <c r="E42" s="4" t="n">
        <v>2</v>
      </c>
      <c r="F42" s="4" t="inlineStr">
        <is>
          <t>20508565934</t>
        </is>
      </c>
      <c r="G42" s="4" t="inlineStr">
        <is>
          <t>CP02</t>
        </is>
      </c>
      <c r="H42" s="22" t="inlineStr">
        <is>
          <t>C1</t>
        </is>
      </c>
      <c r="L42" t="inlineStr">
        <is>
          <t>RBT-SO CROSS LA CALERA MANTEQUILLA LAIVE HS JUNIO 2026</t>
        </is>
      </c>
      <c r="M42" s="4" t="n">
        <v>2</v>
      </c>
      <c r="N42" s="4" t="n">
        <v>6371100002</v>
      </c>
      <c r="O42" s="5">
        <f>+_xlfn.XLOOKUP(N42,Hoja2!B:B,Hoja2!C:C,,0)</f>
        <v/>
      </c>
      <c r="P42" s="4" t="inlineStr">
        <is>
          <t>1030210003</t>
        </is>
      </c>
      <c r="Q42" t="n">
        <v>1767.84</v>
      </c>
      <c r="R42" s="4" t="inlineStr">
        <is>
          <t>C1</t>
        </is>
      </c>
      <c r="T42" s="24" t="inlineStr">
        <is>
          <t>RBT-SO CROSS LA CALERA MANTEQUILLA LAIVE HS JUNIO 2026</t>
        </is>
      </c>
    </row>
    <row r="43" hidden="1">
      <c r="A43" s="21">
        <f>+A42+1</f>
        <v/>
      </c>
      <c r="B43" s="4" t="inlineStr">
        <is>
          <t>08.07.2026</t>
        </is>
      </c>
      <c r="C43" t="inlineStr">
        <is>
          <t>22.07.2026 310747275</t>
        </is>
      </c>
      <c r="D43" s="4" t="inlineStr">
        <is>
          <t>01-0FF32-0539440</t>
        </is>
      </c>
      <c r="E43" s="4" t="n">
        <v>2</v>
      </c>
      <c r="F43" s="4" t="inlineStr">
        <is>
          <t>20508565934</t>
        </is>
      </c>
      <c r="G43" s="4" t="inlineStr">
        <is>
          <t>CP02</t>
        </is>
      </c>
      <c r="H43" s="22" t="inlineStr">
        <is>
          <t>C1</t>
        </is>
      </c>
      <c r="L43" t="inlineStr">
        <is>
          <t>RBT-SO CROSS LA CALERA DON VITTORIO HS11 JUNIO 2026</t>
        </is>
      </c>
      <c r="M43" s="4" t="n">
        <v>2</v>
      </c>
      <c r="N43" s="4" t="n">
        <v>6371100002</v>
      </c>
      <c r="O43" s="5">
        <f>+_xlfn.XLOOKUP(N43,Hoja2!B:B,Hoja2!C:C,,0)</f>
        <v/>
      </c>
      <c r="P43" s="4" t="inlineStr">
        <is>
          <t>1030210003</t>
        </is>
      </c>
      <c r="Q43" t="n">
        <v>1616.69</v>
      </c>
      <c r="R43" s="4" t="inlineStr">
        <is>
          <t>C1</t>
        </is>
      </c>
      <c r="T43" s="24" t="inlineStr">
        <is>
          <t>RBT-SO CROSS LA CALERA DON VITTORIO HS11 JUNIO 2026</t>
        </is>
      </c>
    </row>
    <row r="44">
      <c r="A44" s="21">
        <f>+A43+1</f>
        <v/>
      </c>
      <c r="B44" s="4" t="inlineStr">
        <is>
          <t>08.07.2026</t>
        </is>
      </c>
      <c r="C44" t="inlineStr">
        <is>
          <t>22.07.2026 310747365</t>
        </is>
      </c>
      <c r="D44" s="4" t="inlineStr">
        <is>
          <t>01-0FF32-0539448</t>
        </is>
      </c>
      <c r="E44" s="4" t="n">
        <v>2</v>
      </c>
      <c r="F44" s="4" t="inlineStr">
        <is>
          <t>20508565934</t>
        </is>
      </c>
      <c r="G44" s="4" t="inlineStr">
        <is>
          <t>CP02</t>
        </is>
      </c>
      <c r="H44" s="22" t="inlineStr">
        <is>
          <t>C1</t>
        </is>
      </c>
      <c r="L44" s="20" t="inlineStr">
        <is>
          <t>RBT-REV VAR LA CALERA 2DO TRIM JUNIO 2026</t>
        </is>
      </c>
      <c r="M44" s="4" t="n">
        <v>2</v>
      </c>
      <c r="N44" s="32" t="n">
        <v>6371100004</v>
      </c>
      <c r="O44" s="33">
        <f>+_xlfn.XLOOKUP(N44,Hoja2!B:B,Hoja2!C:C,,0)</f>
        <v/>
      </c>
      <c r="P44" s="4" t="inlineStr">
        <is>
          <t>1030210003</t>
        </is>
      </c>
      <c r="Q44" s="34" t="n">
        <v>85789.21000000001</v>
      </c>
      <c r="R44" s="4" t="inlineStr">
        <is>
          <t>C1</t>
        </is>
      </c>
      <c r="T44" s="24" t="inlineStr">
        <is>
          <t>RBT-REV VAR LA CALERA 2DO TRIM JUNIO 2026</t>
        </is>
      </c>
    </row>
    <row r="45" hidden="1">
      <c r="A45" s="21">
        <f>+A44+1</f>
        <v/>
      </c>
      <c r="B45" s="4" t="inlineStr">
        <is>
          <t>08.07.2026</t>
        </is>
      </c>
      <c r="C45" t="inlineStr">
        <is>
          <t>22.07.2026 310747164</t>
        </is>
      </c>
      <c r="D45" s="4" t="inlineStr">
        <is>
          <t>01-0FF32-0539426</t>
        </is>
      </c>
      <c r="E45" s="4" t="n">
        <v>2</v>
      </c>
      <c r="F45" s="4" t="inlineStr">
        <is>
          <t>20508565934</t>
        </is>
      </c>
      <c r="G45" s="4" t="inlineStr">
        <is>
          <t>CP02</t>
        </is>
      </c>
      <c r="H45" s="22" t="inlineStr">
        <is>
          <t>C1</t>
        </is>
      </c>
      <c r="L45" t="inlineStr">
        <is>
          <t>RBT-SO PROM PROVINCIA LA CALERA X 30 2026 JUNIO 2026</t>
        </is>
      </c>
      <c r="M45" s="4" t="n">
        <v>2</v>
      </c>
      <c r="N45" s="4" t="n">
        <v>6371100002</v>
      </c>
      <c r="O45" s="5">
        <f>+_xlfn.XLOOKUP(N45,Hoja2!B:B,Hoja2!C:C,,0)</f>
        <v/>
      </c>
      <c r="P45" s="4" t="inlineStr">
        <is>
          <t>1030210003</t>
        </is>
      </c>
      <c r="Q45" t="n">
        <v>6847.3</v>
      </c>
      <c r="R45" s="4" t="inlineStr">
        <is>
          <t>C1</t>
        </is>
      </c>
      <c r="T45" s="24" t="inlineStr">
        <is>
          <t>RBT-SO PROM PROVINCIA LA CALERA X 30 2026 JUNIO 2026</t>
        </is>
      </c>
    </row>
    <row r="46" hidden="1">
      <c r="A46" s="21">
        <f>+A45+1</f>
        <v/>
      </c>
      <c r="B46" s="4" t="inlineStr">
        <is>
          <t>08.07.2026</t>
        </is>
      </c>
      <c r="C46" t="inlineStr">
        <is>
          <t>22.07.2026 310747157</t>
        </is>
      </c>
      <c r="D46" s="4" t="inlineStr">
        <is>
          <t>01-0FF32-0539325</t>
        </is>
      </c>
      <c r="E46" s="4" t="n">
        <v>2</v>
      </c>
      <c r="F46" s="4" t="inlineStr">
        <is>
          <t>20508565934</t>
        </is>
      </c>
      <c r="G46" s="4" t="inlineStr">
        <is>
          <t>CP02</t>
        </is>
      </c>
      <c r="H46" s="22" t="inlineStr">
        <is>
          <t>C1</t>
        </is>
      </c>
      <c r="L46" t="inlineStr">
        <is>
          <t>RBT-SO CROSS LA CALERA ACEITE HS12 JUNIO 2026</t>
        </is>
      </c>
      <c r="M46" s="4" t="n">
        <v>2</v>
      </c>
      <c r="N46" s="4" t="n">
        <v>6371100002</v>
      </c>
      <c r="O46" s="5">
        <f>+_xlfn.XLOOKUP(N46,Hoja2!B:B,Hoja2!C:C,,0)</f>
        <v/>
      </c>
      <c r="P46" s="4" t="inlineStr">
        <is>
          <t>1030210003</t>
        </is>
      </c>
      <c r="Q46" t="n">
        <v>8092.86</v>
      </c>
      <c r="R46" s="4" t="inlineStr">
        <is>
          <t>C1</t>
        </is>
      </c>
      <c r="T46" s="24" t="inlineStr">
        <is>
          <t>RBT-SO CROSS LA CALERA ACEITE HS12 JUNIO 2026</t>
        </is>
      </c>
    </row>
    <row r="47" hidden="1">
      <c r="A47" s="21">
        <f>+A46+1</f>
        <v/>
      </c>
      <c r="B47" s="4" t="inlineStr">
        <is>
          <t>08.07.2026</t>
        </is>
      </c>
      <c r="C47" t="inlineStr">
        <is>
          <t>22.07.2026 310747807</t>
        </is>
      </c>
      <c r="D47" s="4" t="inlineStr">
        <is>
          <t>01-0FF32-0539306</t>
        </is>
      </c>
      <c r="E47" s="4" t="n">
        <v>2</v>
      </c>
      <c r="F47" s="4" t="inlineStr">
        <is>
          <t>20508565934</t>
        </is>
      </c>
      <c r="G47" s="4" t="inlineStr">
        <is>
          <t>CP02</t>
        </is>
      </c>
      <c r="H47" s="22" t="inlineStr">
        <is>
          <t>C1</t>
        </is>
      </c>
      <c r="L47" t="inlineStr">
        <is>
          <t>RBT-SO 2DOX50 LUNES HUEVOS 2026 JUNIO 2026</t>
        </is>
      </c>
      <c r="M47" s="4" t="n">
        <v>2</v>
      </c>
      <c r="N47" s="4" t="n">
        <v>6371100002</v>
      </c>
      <c r="O47" s="5">
        <f>+_xlfn.XLOOKUP(N47,Hoja2!B:B,Hoja2!C:C,,0)</f>
        <v/>
      </c>
      <c r="P47" s="4" t="inlineStr">
        <is>
          <t>1030210003</t>
        </is>
      </c>
      <c r="Q47" t="n">
        <v>1871.23</v>
      </c>
      <c r="R47" s="4" t="inlineStr">
        <is>
          <t>C1</t>
        </is>
      </c>
      <c r="T47" s="24" t="inlineStr">
        <is>
          <t>RBT-SO 2DOX50 LUNES HUEVOS 2026 JUNIO 2026</t>
        </is>
      </c>
    </row>
    <row r="48" hidden="1">
      <c r="A48" s="21">
        <f>+A47+1</f>
        <v/>
      </c>
      <c r="B48" s="4" t="inlineStr">
        <is>
          <t>08.07.2026</t>
        </is>
      </c>
      <c r="C48" t="inlineStr">
        <is>
          <t>22.07.2026 310747483</t>
        </is>
      </c>
      <c r="D48" s="4" t="inlineStr">
        <is>
          <t>01-0FF32-0539267</t>
        </is>
      </c>
      <c r="E48" s="4" t="n">
        <v>2</v>
      </c>
      <c r="F48" s="4" t="inlineStr">
        <is>
          <t>20508565934</t>
        </is>
      </c>
      <c r="G48" s="4" t="inlineStr">
        <is>
          <t>CP02</t>
        </is>
      </c>
      <c r="H48" s="22" t="inlineStr">
        <is>
          <t>C1</t>
        </is>
      </c>
      <c r="L48" t="inlineStr">
        <is>
          <t>RBT-SO T25 HUEVOS X 15 2026 JUNIO 2026</t>
        </is>
      </c>
      <c r="M48" s="4" t="n">
        <v>2</v>
      </c>
      <c r="N48" s="4" t="n">
        <v>6371100002</v>
      </c>
      <c r="O48" s="5">
        <f>+_xlfn.XLOOKUP(N48,Hoja2!B:B,Hoja2!C:C,,0)</f>
        <v/>
      </c>
      <c r="P48" s="4" t="inlineStr">
        <is>
          <t>1030210003</t>
        </is>
      </c>
      <c r="Q48" t="n">
        <v>3743.57</v>
      </c>
      <c r="R48" s="4" t="inlineStr">
        <is>
          <t>C1</t>
        </is>
      </c>
      <c r="T48" s="24" t="inlineStr">
        <is>
          <t>RBT-SO T25 HUEVOS X 15 2026 JUNIO 2026</t>
        </is>
      </c>
    </row>
    <row r="49" hidden="1">
      <c r="A49" s="21">
        <f>+A48+1</f>
        <v/>
      </c>
      <c r="B49" s="4" t="inlineStr">
        <is>
          <t>08.07.2026</t>
        </is>
      </c>
      <c r="C49" t="inlineStr">
        <is>
          <t>22.07.2026 310747167</t>
        </is>
      </c>
      <c r="D49" s="4" t="inlineStr">
        <is>
          <t>01-0FF32-0538927</t>
        </is>
      </c>
      <c r="E49" s="4" t="n">
        <v>2</v>
      </c>
      <c r="F49" s="4" t="inlineStr">
        <is>
          <t>20508565934</t>
        </is>
      </c>
      <c r="G49" s="4" t="inlineStr">
        <is>
          <t>CP02</t>
        </is>
      </c>
      <c r="H49" s="22" t="inlineStr">
        <is>
          <t>C1</t>
        </is>
      </c>
      <c r="L49" t="inlineStr">
        <is>
          <t>RBT-SO HS13A LA CALERA 2026 JUNIO</t>
        </is>
      </c>
      <c r="M49" s="4" t="n">
        <v>2</v>
      </c>
      <c r="N49" s="4" t="n">
        <v>6371100002</v>
      </c>
      <c r="O49" s="5">
        <f>+_xlfn.XLOOKUP(N49,Hoja2!B:B,Hoja2!C:C,,0)</f>
        <v/>
      </c>
      <c r="P49" s="4" t="inlineStr">
        <is>
          <t>1030210003</t>
        </is>
      </c>
      <c r="Q49" t="n">
        <v>23024.66</v>
      </c>
      <c r="R49" s="4" t="inlineStr">
        <is>
          <t>C1</t>
        </is>
      </c>
      <c r="T49" s="24" t="inlineStr">
        <is>
          <t>RBT-SO HS13A LA CALERA 2026 JUNIO</t>
        </is>
      </c>
    </row>
    <row r="50" hidden="1">
      <c r="A50" s="21">
        <f>+A49+1</f>
        <v/>
      </c>
      <c r="B50" s="4" t="inlineStr">
        <is>
          <t>08.07.2026</t>
        </is>
      </c>
      <c r="C50" t="inlineStr">
        <is>
          <t>22.07.2026 310747816</t>
        </is>
      </c>
      <c r="D50" s="4" t="inlineStr">
        <is>
          <t>01-0FF32-0538913</t>
        </is>
      </c>
      <c r="E50" s="4" t="n">
        <v>2</v>
      </c>
      <c r="F50" s="4" t="inlineStr">
        <is>
          <t>20508565934</t>
        </is>
      </c>
      <c r="G50" s="4" t="inlineStr">
        <is>
          <t>CP02</t>
        </is>
      </c>
      <c r="H50" s="22" t="inlineStr">
        <is>
          <t>C1</t>
        </is>
      </c>
      <c r="L50" t="inlineStr">
        <is>
          <t>RBT-T24 S199 LA CALERA DVD JUNIO 2026</t>
        </is>
      </c>
      <c r="M50" s="4" t="n">
        <v>2</v>
      </c>
      <c r="N50" s="4" t="n">
        <v>6371100002</v>
      </c>
      <c r="O50" s="5">
        <f>+_xlfn.XLOOKUP(N50,Hoja2!B:B,Hoja2!C:C,,0)</f>
        <v/>
      </c>
      <c r="P50" s="4" t="inlineStr">
        <is>
          <t>1030210003</t>
        </is>
      </c>
      <c r="Q50" t="n">
        <v>1664.12</v>
      </c>
      <c r="R50" s="4" t="inlineStr">
        <is>
          <t>C1</t>
        </is>
      </c>
      <c r="T50" s="24" t="inlineStr">
        <is>
          <t>RBT-T24 S199 LA CALERA DVD JUNIO 2026</t>
        </is>
      </c>
    </row>
    <row r="51" hidden="1">
      <c r="A51" s="21">
        <f>+A50+1</f>
        <v/>
      </c>
      <c r="B51" s="4" t="inlineStr">
        <is>
          <t>08.07.2026</t>
        </is>
      </c>
      <c r="C51" t="inlineStr">
        <is>
          <t>22.07.2026 310747142</t>
        </is>
      </c>
      <c r="D51" s="4" t="inlineStr">
        <is>
          <t>01-0FF32-0538826</t>
        </is>
      </c>
      <c r="E51" s="4" t="n">
        <v>2</v>
      </c>
      <c r="F51" s="4" t="inlineStr">
        <is>
          <t>20508565934</t>
        </is>
      </c>
      <c r="G51" s="4" t="inlineStr">
        <is>
          <t>CP02</t>
        </is>
      </c>
      <c r="H51" s="22" t="inlineStr">
        <is>
          <t>C1</t>
        </is>
      </c>
      <c r="L51" t="inlineStr">
        <is>
          <t>RBT-HS13 STOCKEATE S1950 JUNIO 2026</t>
        </is>
      </c>
      <c r="M51" s="4" t="n">
        <v>2</v>
      </c>
      <c r="N51" s="4" t="n">
        <v>6371100002</v>
      </c>
      <c r="O51" s="5">
        <f>+_xlfn.XLOOKUP(N51,Hoja2!B:B,Hoja2!C:C,,0)</f>
        <v/>
      </c>
      <c r="P51" s="4" t="inlineStr">
        <is>
          <t>1030210003</t>
        </is>
      </c>
      <c r="Q51" t="n">
        <v>8194.26</v>
      </c>
      <c r="R51" s="4" t="inlineStr">
        <is>
          <t>C1</t>
        </is>
      </c>
      <c r="T51" s="24" t="inlineStr">
        <is>
          <t>RBT-HS13 STOCKEATE S1950 JUNIO 2026</t>
        </is>
      </c>
    </row>
    <row r="52" hidden="1">
      <c r="A52" s="21">
        <f>+A51+1</f>
        <v/>
      </c>
      <c r="B52" s="4" t="inlineStr">
        <is>
          <t>08.07.2026</t>
        </is>
      </c>
      <c r="C52" t="inlineStr">
        <is>
          <t>22.07.2026 310747746</t>
        </is>
      </c>
      <c r="D52" s="4" t="inlineStr">
        <is>
          <t>01-0FF32-0538801</t>
        </is>
      </c>
      <c r="E52" s="4" t="n">
        <v>2</v>
      </c>
      <c r="F52" s="4" t="inlineStr">
        <is>
          <t>20508565934</t>
        </is>
      </c>
      <c r="G52" s="4" t="inlineStr">
        <is>
          <t>CP02</t>
        </is>
      </c>
      <c r="H52" s="22" t="inlineStr">
        <is>
          <t>C1</t>
        </is>
      </c>
      <c r="L52" t="inlineStr">
        <is>
          <t>RBT-SO T25 LA CALERA 2026 JUNIO 2026</t>
        </is>
      </c>
      <c r="M52" s="4" t="n">
        <v>2</v>
      </c>
      <c r="N52" s="4" t="n">
        <v>6371100002</v>
      </c>
      <c r="O52" s="5">
        <f>+_xlfn.XLOOKUP(N52,Hoja2!B:B,Hoja2!C:C,,0)</f>
        <v/>
      </c>
      <c r="P52" s="4" t="inlineStr">
        <is>
          <t>1030210003</t>
        </is>
      </c>
      <c r="Q52" t="n">
        <v>12829.59</v>
      </c>
      <c r="R52" s="4" t="inlineStr">
        <is>
          <t>C1</t>
        </is>
      </c>
      <c r="T52" s="24" t="inlineStr">
        <is>
          <t>RBT-SO T25 LA CALERA 2026 JUNIO 2026</t>
        </is>
      </c>
    </row>
    <row r="53" hidden="1">
      <c r="A53" s="21">
        <f>+A52+1</f>
        <v/>
      </c>
      <c r="B53" s="4" t="inlineStr">
        <is>
          <t>08.07.2026</t>
        </is>
      </c>
      <c r="C53" t="inlineStr">
        <is>
          <t>22.07.2026 310747608</t>
        </is>
      </c>
      <c r="D53" s="4" t="inlineStr">
        <is>
          <t>01-0FF32-0538779</t>
        </is>
      </c>
      <c r="E53" s="4" t="n">
        <v>2</v>
      </c>
      <c r="F53" s="4" t="inlineStr">
        <is>
          <t>20508565934</t>
        </is>
      </c>
      <c r="G53" s="4" t="inlineStr">
        <is>
          <t>CP02</t>
        </is>
      </c>
      <c r="H53" s="22" t="inlineStr">
        <is>
          <t>C1</t>
        </is>
      </c>
      <c r="L53" t="inlineStr">
        <is>
          <t>RBT-SO PROM PROVINCIA TT X 30 2026 JUNIO 2026</t>
        </is>
      </c>
      <c r="M53" s="4" t="n">
        <v>2</v>
      </c>
      <c r="N53" s="4" t="n">
        <v>6371100002</v>
      </c>
      <c r="O53" s="5">
        <f>+_xlfn.XLOOKUP(N53,Hoja2!B:B,Hoja2!C:C,,0)</f>
        <v/>
      </c>
      <c r="P53" s="4" t="inlineStr">
        <is>
          <t>1030210003</t>
        </is>
      </c>
      <c r="Q53" t="n">
        <v>21377.48</v>
      </c>
      <c r="R53" s="4" t="inlineStr">
        <is>
          <t>C1</t>
        </is>
      </c>
      <c r="T53" s="24" t="inlineStr">
        <is>
          <t>RBT-SO PROM PROVINCIA TT X 30 2026 JUNIO 2026</t>
        </is>
      </c>
    </row>
    <row r="54" hidden="1">
      <c r="A54" s="21">
        <f>+A53+1</f>
        <v/>
      </c>
      <c r="B54" s="4" t="inlineStr">
        <is>
          <t>12.07.2026</t>
        </is>
      </c>
      <c r="C54" t="inlineStr">
        <is>
          <t>16.07.2026 310461432</t>
        </is>
      </c>
      <c r="D54" s="4" t="inlineStr">
        <is>
          <t>01-0FA38-0665180</t>
        </is>
      </c>
      <c r="E54" s="4" t="n">
        <v>2</v>
      </c>
      <c r="F54" s="4" t="inlineStr">
        <is>
          <t>20109072177</t>
        </is>
      </c>
      <c r="G54" s="4" t="inlineStr">
        <is>
          <t>CP02</t>
        </is>
      </c>
      <c r="H54" s="22" t="inlineStr">
        <is>
          <t>C1</t>
        </is>
      </c>
      <c r="L54" t="inlineStr">
        <is>
          <t>RBT-DESARROLLO COMERCIAL - M001 Periodo del 06.07.2026 al 12.07.2026</t>
        </is>
      </c>
      <c r="M54" s="4" t="n">
        <v>2</v>
      </c>
      <c r="N54" s="4" t="n">
        <v>6371100002</v>
      </c>
      <c r="O54" s="5">
        <f>+_xlfn.XLOOKUP(N54,Hoja2!B:B,Hoja2!C:C,,0)</f>
        <v/>
      </c>
      <c r="P54" s="4" t="inlineStr">
        <is>
          <t>1030210005</t>
        </is>
      </c>
      <c r="Q54" t="n">
        <v>75644.2</v>
      </c>
      <c r="R54" s="4" t="inlineStr">
        <is>
          <t>C1</t>
        </is>
      </c>
      <c r="T54" s="24" t="inlineStr">
        <is>
          <t>RBT-DESARROLLO COMERCIAL - M001 Periodo del 06.07.2026 al 12.07.2026</t>
        </is>
      </c>
    </row>
    <row r="55" hidden="1">
      <c r="A55" s="21">
        <f>+A54+1</f>
        <v/>
      </c>
      <c r="B55" s="4" t="inlineStr">
        <is>
          <t>20.07.2026</t>
        </is>
      </c>
      <c r="C55" t="inlineStr">
        <is>
          <t>22.07.2026 310746696</t>
        </is>
      </c>
      <c r="D55" s="4" t="inlineStr">
        <is>
          <t>01-0FF32-0543230</t>
        </is>
      </c>
      <c r="E55" s="4" t="n">
        <v>2</v>
      </c>
      <c r="F55" s="4" t="inlineStr">
        <is>
          <t>20508565934</t>
        </is>
      </c>
      <c r="G55" s="4" t="inlineStr">
        <is>
          <t>CP02</t>
        </is>
      </c>
      <c r="H55" s="22" t="inlineStr">
        <is>
          <t>C1</t>
        </is>
      </c>
      <c r="L55" t="inlineStr">
        <is>
          <t>RBT-RAPPEL FIJO JUNIO 2026</t>
        </is>
      </c>
      <c r="M55" s="4" t="n">
        <v>2</v>
      </c>
      <c r="N55" s="4" t="n">
        <v>6371100003</v>
      </c>
      <c r="O55" s="5">
        <f>+_xlfn.XLOOKUP(N55,Hoja2!B:B,Hoja2!C:C,,0)</f>
        <v/>
      </c>
      <c r="P55" s="4" t="inlineStr">
        <is>
          <t>1030210003</t>
        </is>
      </c>
      <c r="Q55" t="n">
        <v>81044.10000000001</v>
      </c>
      <c r="R55" s="4" t="inlineStr">
        <is>
          <t>C1</t>
        </is>
      </c>
      <c r="T55" s="24" t="inlineStr">
        <is>
          <t>RBT-RAPPEL FIJO JUNIO 2026</t>
        </is>
      </c>
    </row>
    <row r="56" hidden="1">
      <c r="A56" s="21">
        <f>+A55+1</f>
        <v/>
      </c>
      <c r="B56" s="4" t="inlineStr">
        <is>
          <t>19.07.2026</t>
        </is>
      </c>
      <c r="C56" t="inlineStr">
        <is>
          <t>22.07.2026 310743377</t>
        </is>
      </c>
      <c r="D56" s="4" t="inlineStr">
        <is>
          <t>01-0FA38-0666962</t>
        </is>
      </c>
      <c r="E56" s="4" t="n">
        <v>2</v>
      </c>
      <c r="F56" s="4" t="inlineStr">
        <is>
          <t>20109072177</t>
        </is>
      </c>
      <c r="G56" s="4" t="inlineStr">
        <is>
          <t>CP02</t>
        </is>
      </c>
      <c r="H56" s="22" t="inlineStr">
        <is>
          <t>C1</t>
        </is>
      </c>
      <c r="L56" t="inlineStr">
        <is>
          <t>RBT-DESARROLLO COMERCIAL - M001 Periodo del 13.07.2026 al 19.07.2026</t>
        </is>
      </c>
      <c r="M56" s="4" t="n">
        <v>2</v>
      </c>
      <c r="N56" s="4" t="n">
        <v>6371100002</v>
      </c>
      <c r="O56" s="5">
        <f>+_xlfn.XLOOKUP(N56,Hoja2!B:B,Hoja2!C:C,,0)</f>
        <v/>
      </c>
      <c r="P56" s="4" t="inlineStr">
        <is>
          <t>1030210005</t>
        </is>
      </c>
      <c r="Q56" t="n">
        <v>74613.39</v>
      </c>
      <c r="R56" s="4" t="inlineStr">
        <is>
          <t>C1</t>
        </is>
      </c>
      <c r="T56" s="24" t="inlineStr">
        <is>
          <t>RBT-DESARROLLO COMERCIAL - M001 Periodo del 13.07.2026 al 19.07.2026</t>
        </is>
      </c>
    </row>
    <row r="57" hidden="1">
      <c r="A57" s="21">
        <f>+A56+1</f>
        <v/>
      </c>
      <c r="B57" s="4" t="inlineStr">
        <is>
          <t>20.07.2026</t>
        </is>
      </c>
      <c r="C57" t="inlineStr">
        <is>
          <t>22.07.2026 310745504</t>
        </is>
      </c>
      <c r="D57" s="4" t="inlineStr">
        <is>
          <t>01-0FF32-0540545</t>
        </is>
      </c>
      <c r="E57" s="4" t="n">
        <v>2</v>
      </c>
      <c r="F57" s="4" t="inlineStr">
        <is>
          <t>20508565934</t>
        </is>
      </c>
      <c r="G57" s="4" t="inlineStr">
        <is>
          <t>CP02</t>
        </is>
      </c>
      <c r="H57" s="22" t="inlineStr">
        <is>
          <t>C1</t>
        </is>
      </c>
      <c r="L57" t="inlineStr">
        <is>
          <t>RBT-B2B COMERCIAL JUNIO 2026</t>
        </is>
      </c>
      <c r="M57" s="4" t="n">
        <v>2</v>
      </c>
      <c r="N57" s="4" t="n">
        <v>6371100006</v>
      </c>
      <c r="O57" s="5">
        <f>+_xlfn.XLOOKUP(N57,Hoja2!B:B,Hoja2!C:C,,0)</f>
        <v/>
      </c>
      <c r="P57" s="4" t="inlineStr">
        <is>
          <t>1030210003</t>
        </is>
      </c>
      <c r="Q57" t="n">
        <v>3918.64</v>
      </c>
      <c r="R57" s="4" t="inlineStr">
        <is>
          <t>C1</t>
        </is>
      </c>
      <c r="T57" s="24" t="inlineStr">
        <is>
          <t>RBT-B2B COMERCIAL JUNIO 2026</t>
        </is>
      </c>
    </row>
    <row r="58" hidden="1">
      <c r="A58" s="21">
        <f>+A57+1</f>
        <v/>
      </c>
      <c r="B58" s="4" t="inlineStr">
        <is>
          <t>10.07.2026</t>
        </is>
      </c>
      <c r="C58" t="inlineStr">
        <is>
          <t>07.08.2026 311754552</t>
        </is>
      </c>
      <c r="D58" s="4" t="inlineStr">
        <is>
          <t>01-0F015-0012595</t>
        </is>
      </c>
      <c r="E58" s="4" t="n">
        <v>2</v>
      </c>
      <c r="F58" s="4" t="inlineStr">
        <is>
          <t>20602602941</t>
        </is>
      </c>
      <c r="G58" s="4" t="inlineStr">
        <is>
          <t>CP02</t>
        </is>
      </c>
      <c r="H58" s="22" t="inlineStr">
        <is>
          <t>C1</t>
        </is>
      </c>
      <c r="L58" t="inlineStr">
        <is>
          <t>RBT-PedidosYa Market PE - Reconocimiento por BM - Junio 2026</t>
        </is>
      </c>
      <c r="M58" s="4" t="n">
        <v>2</v>
      </c>
      <c r="N58" s="4" t="n">
        <v>6371100002</v>
      </c>
      <c r="O58" s="5">
        <f>+_xlfn.XLOOKUP(N58,Hoja2!B:B,Hoja2!C:C,,0)</f>
        <v/>
      </c>
      <c r="P58" s="4" t="inlineStr">
        <is>
          <t>1030210017</t>
        </is>
      </c>
      <c r="Q58" t="n">
        <v>8484.85</v>
      </c>
      <c r="R58" s="4" t="inlineStr">
        <is>
          <t>C1</t>
        </is>
      </c>
      <c r="T58" s="24" t="inlineStr">
        <is>
          <t>RBT-PedidosYa Market PE - Reconocimiento por BM - Junio 2026</t>
        </is>
      </c>
    </row>
    <row r="59" hidden="1">
      <c r="A59" s="21">
        <f>+A58+1</f>
        <v/>
      </c>
      <c r="B59" s="4" t="inlineStr">
        <is>
          <t>24.07.2026</t>
        </is>
      </c>
      <c r="C59" t="inlineStr">
        <is>
          <t>30.07.2026 311103804</t>
        </is>
      </c>
      <c r="D59" s="4" t="inlineStr">
        <is>
          <t>01-0F024-0682540</t>
        </is>
      </c>
      <c r="E59" s="4" t="n">
        <v>2</v>
      </c>
      <c r="F59" s="4" t="inlineStr">
        <is>
          <t>20100070970</t>
        </is>
      </c>
      <c r="G59" s="4" t="inlineStr">
        <is>
          <t>CP02</t>
        </is>
      </c>
      <c r="H59" s="22" t="inlineStr">
        <is>
          <t>C1</t>
        </is>
      </c>
      <c r="L59" t="inlineStr">
        <is>
          <t>RBT-HUEVO-PARDO-LA-CALERA-BJX15UN JULIO 2026</t>
        </is>
      </c>
      <c r="M59" s="4" t="n">
        <v>2</v>
      </c>
      <c r="N59" s="4" t="n">
        <v>6371100005</v>
      </c>
      <c r="O59" s="5">
        <f>+_xlfn.XLOOKUP(N59,Hoja2!B:B,Hoja2!C:C,,0)</f>
        <v/>
      </c>
      <c r="P59" s="4" t="inlineStr">
        <is>
          <t>1030210001</t>
        </is>
      </c>
      <c r="Q59" t="n">
        <v>2848.32</v>
      </c>
      <c r="R59" s="4" t="inlineStr">
        <is>
          <t>C1</t>
        </is>
      </c>
      <c r="T59" s="24" t="inlineStr">
        <is>
          <t>RBT-HUEVO-PARDO-LA-CALERA-BJX15UN JULIO 2026</t>
        </is>
      </c>
    </row>
    <row r="60" hidden="1">
      <c r="A60" s="21">
        <f>+A59+1</f>
        <v/>
      </c>
      <c r="B60" s="4" t="inlineStr">
        <is>
          <t>24.07.2026</t>
        </is>
      </c>
      <c r="C60" t="inlineStr">
        <is>
          <t>30.07.2026 311103759</t>
        </is>
      </c>
      <c r="D60" s="4" t="inlineStr">
        <is>
          <t>01-0F024-0682542</t>
        </is>
      </c>
      <c r="E60" s="4" t="n">
        <v>2</v>
      </c>
      <c r="F60" s="4" t="inlineStr">
        <is>
          <t>20100070970</t>
        </is>
      </c>
      <c r="G60" s="4" t="inlineStr">
        <is>
          <t>CP02</t>
        </is>
      </c>
      <c r="H60" s="22" t="inlineStr">
        <is>
          <t>C1</t>
        </is>
      </c>
      <c r="L60" t="inlineStr">
        <is>
          <t>RBT-LA-CALERA-HUEVO-PARDO-JUMBO-BJ15UN JULIO 2026</t>
        </is>
      </c>
      <c r="M60" s="4" t="n">
        <v>2</v>
      </c>
      <c r="N60" s="4" t="n">
        <v>6371100005</v>
      </c>
      <c r="O60" s="5">
        <f>+_xlfn.XLOOKUP(N60,Hoja2!B:B,Hoja2!C:C,,0)</f>
        <v/>
      </c>
      <c r="P60" s="4" t="inlineStr">
        <is>
          <t>1030210001</t>
        </is>
      </c>
      <c r="Q60" t="n">
        <v>2612.19</v>
      </c>
      <c r="R60" s="4" t="inlineStr">
        <is>
          <t>C1</t>
        </is>
      </c>
      <c r="T60" s="24" t="inlineStr">
        <is>
          <t>RBT-LA-CALERA-HUEVO-PARDO-JUMBO-BJ15UN JULIO 2026</t>
        </is>
      </c>
    </row>
    <row r="61" hidden="1">
      <c r="A61" s="21">
        <f>+A60+1</f>
        <v/>
      </c>
      <c r="B61" s="4" t="inlineStr">
        <is>
          <t>24.07.2026</t>
        </is>
      </c>
      <c r="C61" t="inlineStr">
        <is>
          <t>30.07.2026 311103801</t>
        </is>
      </c>
      <c r="D61" s="4" t="inlineStr">
        <is>
          <t>01-0F024-0682541</t>
        </is>
      </c>
      <c r="E61" s="4" t="n">
        <v>2</v>
      </c>
      <c r="F61" s="4" t="inlineStr">
        <is>
          <t>20100070970</t>
        </is>
      </c>
      <c r="G61" s="4" t="inlineStr">
        <is>
          <t>CP02</t>
        </is>
      </c>
      <c r="H61" s="22" t="inlineStr">
        <is>
          <t>C1</t>
        </is>
      </c>
      <c r="L61" t="inlineStr">
        <is>
          <t>RBT-HUEVOS-PARDOS-BELLS-PQ-X-30-UN JULIO 2026</t>
        </is>
      </c>
      <c r="M61" s="4" t="n">
        <v>2</v>
      </c>
      <c r="N61" s="4" t="n">
        <v>6371100005</v>
      </c>
      <c r="O61" s="5">
        <f>+_xlfn.XLOOKUP(N61,Hoja2!B:B,Hoja2!C:C,,0)</f>
        <v/>
      </c>
      <c r="P61" s="4" t="inlineStr">
        <is>
          <t>1030210001</t>
        </is>
      </c>
      <c r="Q61" t="n">
        <v>761.38</v>
      </c>
      <c r="R61" s="4" t="inlineStr">
        <is>
          <t>C1</t>
        </is>
      </c>
      <c r="T61" s="24" t="inlineStr">
        <is>
          <t>RBT-HUEVOS-PARDOS-BELLS-PQ-X-30-UN JULIO 2026</t>
        </is>
      </c>
    </row>
    <row r="62" hidden="1">
      <c r="A62" s="21">
        <f>+A61+1</f>
        <v/>
      </c>
      <c r="B62" s="4" t="inlineStr">
        <is>
          <t>24.07.2026</t>
        </is>
      </c>
      <c r="C62" t="inlineStr">
        <is>
          <t>30.07.2026 311103742</t>
        </is>
      </c>
      <c r="D62" s="4" t="inlineStr">
        <is>
          <t>01-0F024-0682544</t>
        </is>
      </c>
      <c r="E62" s="4" t="n">
        <v>2</v>
      </c>
      <c r="F62" s="4" t="inlineStr">
        <is>
          <t>20100070970</t>
        </is>
      </c>
      <c r="G62" s="4" t="inlineStr">
        <is>
          <t>CP02</t>
        </is>
      </c>
      <c r="H62" s="22" t="inlineStr">
        <is>
          <t>C1</t>
        </is>
      </c>
      <c r="L62" t="inlineStr">
        <is>
          <t>RBT-HUEVO-PARDO-LA-CALERA-BJX15UN JULIO 2026</t>
        </is>
      </c>
      <c r="M62" s="4" t="n">
        <v>2</v>
      </c>
      <c r="N62" s="4" t="n">
        <v>6371100005</v>
      </c>
      <c r="O62" s="5">
        <f>+_xlfn.XLOOKUP(N62,Hoja2!B:B,Hoja2!C:C,,0)</f>
        <v/>
      </c>
      <c r="P62" s="4" t="inlineStr">
        <is>
          <t>1030210001</t>
        </is>
      </c>
      <c r="Q62" t="n">
        <v>934.9</v>
      </c>
      <c r="R62" s="4" t="inlineStr">
        <is>
          <t>C1</t>
        </is>
      </c>
      <c r="T62" s="24" t="inlineStr">
        <is>
          <t>RBT-HUEVO-PARDO-LA-CALERA-BJX15UN JULIO 2026</t>
        </is>
      </c>
    </row>
    <row r="63" hidden="1">
      <c r="A63" s="21">
        <f>+A62+1</f>
        <v/>
      </c>
      <c r="B63" s="4" t="inlineStr">
        <is>
          <t>24.07.2026</t>
        </is>
      </c>
      <c r="C63" t="inlineStr">
        <is>
          <t>30.07.2026 311103823</t>
        </is>
      </c>
      <c r="D63" s="4" t="inlineStr">
        <is>
          <t>01-0F024-0682543</t>
        </is>
      </c>
      <c r="E63" s="4" t="n">
        <v>2</v>
      </c>
      <c r="F63" s="4" t="inlineStr">
        <is>
          <t>20100070970</t>
        </is>
      </c>
      <c r="G63" s="4" t="inlineStr">
        <is>
          <t>CP02</t>
        </is>
      </c>
      <c r="H63" s="22" t="inlineStr">
        <is>
          <t>C1</t>
        </is>
      </c>
      <c r="L63" t="inlineStr">
        <is>
          <t>RBT-BELL-S-HUEVO-PARDO-PQ8UN JULIO 2026</t>
        </is>
      </c>
      <c r="M63" s="4" t="n">
        <v>2</v>
      </c>
      <c r="N63" s="4" t="n">
        <v>6371100005</v>
      </c>
      <c r="O63" s="5">
        <f>+_xlfn.XLOOKUP(N63,Hoja2!B:B,Hoja2!C:C,,0)</f>
        <v/>
      </c>
      <c r="P63" s="4" t="inlineStr">
        <is>
          <t>1030210001</t>
        </is>
      </c>
      <c r="Q63" t="n">
        <v>1074.02</v>
      </c>
      <c r="R63" s="4" t="inlineStr">
        <is>
          <t>C1</t>
        </is>
      </c>
      <c r="T63" s="24" t="inlineStr">
        <is>
          <t>RBT-BELL-S-HUEVO-PARDO-PQ8UN JULIO 2026</t>
        </is>
      </c>
    </row>
    <row r="64" hidden="1">
      <c r="A64" s="21">
        <f>+A63+1</f>
        <v/>
      </c>
      <c r="B64" s="4" t="inlineStr">
        <is>
          <t>26.07.2026</t>
        </is>
      </c>
      <c r="C64" t="inlineStr">
        <is>
          <t>30.07.2026 311105823</t>
        </is>
      </c>
      <c r="D64" s="4" t="inlineStr">
        <is>
          <t>01-0FA38-0667857</t>
        </is>
      </c>
      <c r="E64" s="4" t="n">
        <v>2</v>
      </c>
      <c r="F64" s="4" t="inlineStr">
        <is>
          <t>20109072177</t>
        </is>
      </c>
      <c r="G64" s="4" t="inlineStr">
        <is>
          <t>CP02</t>
        </is>
      </c>
      <c r="H64" s="22" t="inlineStr">
        <is>
          <t>C1</t>
        </is>
      </c>
      <c r="L64" t="inlineStr">
        <is>
          <t>RBT-DESARROLLO COMERCIAL - M001 Periodo del 20.07.2026 al 26.07.2026</t>
        </is>
      </c>
      <c r="M64" s="4" t="n">
        <v>2</v>
      </c>
      <c r="N64" s="4" t="n">
        <v>6371100002</v>
      </c>
      <c r="O64" s="5">
        <f>+_xlfn.XLOOKUP(N64,Hoja2!B:B,Hoja2!C:C,,0)</f>
        <v/>
      </c>
      <c r="P64" s="4" t="inlineStr">
        <is>
          <t>1030210005</t>
        </is>
      </c>
      <c r="Q64" t="n">
        <v>80416.99000000001</v>
      </c>
      <c r="R64" s="4" t="inlineStr">
        <is>
          <t>C1</t>
        </is>
      </c>
      <c r="T64" s="24" t="inlineStr">
        <is>
          <t>RBT-DESARROLLO COMERCIAL - M001 Periodo del 20.07.2026 al 26.07.2026</t>
        </is>
      </c>
    </row>
    <row r="65" hidden="1">
      <c r="A65" s="21">
        <f>+A64+1</f>
        <v/>
      </c>
      <c r="B65" s="4" t="inlineStr">
        <is>
          <t>27.07.2026</t>
        </is>
      </c>
      <c r="C65" t="inlineStr">
        <is>
          <t>30.07.2026 311103809</t>
        </is>
      </c>
      <c r="D65" s="4" t="inlineStr">
        <is>
          <t>01-0F024-0683946</t>
        </is>
      </c>
      <c r="E65" s="4" t="n">
        <v>2</v>
      </c>
      <c r="F65" s="4" t="inlineStr">
        <is>
          <t>20100070970</t>
        </is>
      </c>
      <c r="G65" s="4" t="inlineStr">
        <is>
          <t>CP02</t>
        </is>
      </c>
      <c r="H65" s="22" t="inlineStr">
        <is>
          <t>C1</t>
        </is>
      </c>
      <c r="L65" t="inlineStr">
        <is>
          <t>RBT-BELLS-HUEVO-PARDO-PQ15UN JULIO 2026</t>
        </is>
      </c>
      <c r="M65" s="4" t="n">
        <v>2</v>
      </c>
      <c r="N65" s="4" t="n">
        <v>6371100005</v>
      </c>
      <c r="O65" s="5">
        <f>+_xlfn.XLOOKUP(N65,Hoja2!B:B,Hoja2!C:C,,0)</f>
        <v/>
      </c>
      <c r="P65" s="4" t="inlineStr">
        <is>
          <t>1030210001</t>
        </is>
      </c>
      <c r="Q65" t="n">
        <v>1031.31</v>
      </c>
      <c r="R65" s="4" t="inlineStr">
        <is>
          <t>C1</t>
        </is>
      </c>
      <c r="T65" s="24" t="inlineStr">
        <is>
          <t>RBT-BELLS-HUEVO-PARDO-PQ15UN JULIO 2026</t>
        </is>
      </c>
    </row>
    <row r="66" hidden="1">
      <c r="A66" s="21">
        <f>+A65+1</f>
        <v/>
      </c>
      <c r="B66" s="4" t="inlineStr">
        <is>
          <t>27.07.2026</t>
        </is>
      </c>
      <c r="C66" t="inlineStr">
        <is>
          <t>30.07.2026 311103808</t>
        </is>
      </c>
      <c r="D66" s="4" t="inlineStr">
        <is>
          <t>01-0F024-0683937</t>
        </is>
      </c>
      <c r="E66" s="4" t="n">
        <v>2</v>
      </c>
      <c r="F66" s="4" t="inlineStr">
        <is>
          <t>20100070970</t>
        </is>
      </c>
      <c r="G66" s="4" t="inlineStr">
        <is>
          <t>CP02</t>
        </is>
      </c>
      <c r="H66" s="22" t="inlineStr">
        <is>
          <t>C1</t>
        </is>
      </c>
      <c r="L66" t="inlineStr">
        <is>
          <t>RBT-LA-CALERA-HUEVO-PARDO-PQ30UN JULIO 2026</t>
        </is>
      </c>
      <c r="M66" s="4" t="n">
        <v>2</v>
      </c>
      <c r="N66" s="4" t="n">
        <v>6371100005</v>
      </c>
      <c r="O66" s="5">
        <f>+_xlfn.XLOOKUP(N66,Hoja2!B:B,Hoja2!C:C,,0)</f>
        <v/>
      </c>
      <c r="P66" s="4" t="inlineStr">
        <is>
          <t>1030210001</t>
        </is>
      </c>
      <c r="Q66" t="n">
        <v>886.89</v>
      </c>
      <c r="R66" s="4" t="inlineStr">
        <is>
          <t>C1</t>
        </is>
      </c>
      <c r="T66" s="24" t="inlineStr">
        <is>
          <t>RBT-LA-CALERA-HUEVO-PARDO-PQ30UN JULIO 2026</t>
        </is>
      </c>
    </row>
    <row r="67" hidden="1">
      <c r="A67" s="21">
        <f>+A66+1</f>
        <v/>
      </c>
      <c r="B67" s="4" t="inlineStr">
        <is>
          <t>27.07.2026</t>
        </is>
      </c>
      <c r="C67" t="inlineStr">
        <is>
          <t>30.07.2026 311103825</t>
        </is>
      </c>
      <c r="D67" s="4" t="inlineStr">
        <is>
          <t>01-0F024-0683925</t>
        </is>
      </c>
      <c r="E67" s="4" t="n">
        <v>2</v>
      </c>
      <c r="F67" s="4" t="inlineStr">
        <is>
          <t>20100070970</t>
        </is>
      </c>
      <c r="G67" s="4" t="inlineStr">
        <is>
          <t>CP02</t>
        </is>
      </c>
      <c r="H67" s="22" t="inlineStr">
        <is>
          <t>C1</t>
        </is>
      </c>
      <c r="L67" t="inlineStr">
        <is>
          <t>RBT-HUEVOS-PARDOS-BELLS-PQ-X-30-UN JULIO 2026</t>
        </is>
      </c>
      <c r="M67" s="4" t="n">
        <v>2</v>
      </c>
      <c r="N67" s="4" t="n">
        <v>6371100005</v>
      </c>
      <c r="O67" s="5">
        <f>+_xlfn.XLOOKUP(N67,Hoja2!B:B,Hoja2!C:C,,0)</f>
        <v/>
      </c>
      <c r="P67" s="4" t="inlineStr">
        <is>
          <t>1030210001</t>
        </is>
      </c>
      <c r="Q67" t="n">
        <v>1009.54</v>
      </c>
      <c r="R67" s="4" t="inlineStr">
        <is>
          <t>C1</t>
        </is>
      </c>
      <c r="T67" s="24" t="inlineStr">
        <is>
          <t>RBT-HUEVOS-PARDOS-BELLS-PQ-X-30-UN JULIO 2026</t>
        </is>
      </c>
    </row>
    <row r="68" hidden="1">
      <c r="A68" s="21">
        <f>+A67+1</f>
        <v/>
      </c>
      <c r="B68" s="4" t="inlineStr">
        <is>
          <t>27.07.2026</t>
        </is>
      </c>
      <c r="C68" t="inlineStr">
        <is>
          <t>30.07.2026 311103738</t>
        </is>
      </c>
      <c r="D68" s="4" t="inlineStr">
        <is>
          <t>01-0F024-0683914</t>
        </is>
      </c>
      <c r="E68" s="4" t="n">
        <v>2</v>
      </c>
      <c r="F68" s="4" t="inlineStr">
        <is>
          <t>20100070970</t>
        </is>
      </c>
      <c r="G68" s="4" t="inlineStr">
        <is>
          <t>CP02</t>
        </is>
      </c>
      <c r="H68" s="22" t="inlineStr">
        <is>
          <t>C1</t>
        </is>
      </c>
      <c r="L68" t="inlineStr">
        <is>
          <t>RBT-LA-CALERA-HUEVO-PARDO-JUMBO-BJ15UN JULIO 2026</t>
        </is>
      </c>
      <c r="M68" s="4" t="n">
        <v>2</v>
      </c>
      <c r="N68" s="4" t="n">
        <v>6371100005</v>
      </c>
      <c r="O68" s="5">
        <f>+_xlfn.XLOOKUP(N68,Hoja2!B:B,Hoja2!C:C,,0)</f>
        <v/>
      </c>
      <c r="P68" s="4" t="inlineStr">
        <is>
          <t>1030210001</t>
        </is>
      </c>
      <c r="Q68" t="n">
        <v>2367.04</v>
      </c>
      <c r="R68" s="4" t="inlineStr">
        <is>
          <t>C1</t>
        </is>
      </c>
      <c r="T68" s="24" t="inlineStr">
        <is>
          <t>RBT-LA-CALERA-HUEVO-PARDO-JUMBO-BJ15UN JULIO 2026</t>
        </is>
      </c>
    </row>
    <row r="69" hidden="1">
      <c r="A69" s="21">
        <f>+A68+1</f>
        <v/>
      </c>
      <c r="B69" s="4" t="inlineStr">
        <is>
          <t>27.07.2026</t>
        </is>
      </c>
      <c r="C69" t="inlineStr">
        <is>
          <t>30.07.2026 311103747</t>
        </is>
      </c>
      <c r="D69" s="4" t="inlineStr">
        <is>
          <t>01-0F024-0683924</t>
        </is>
      </c>
      <c r="E69" s="4" t="n">
        <v>2</v>
      </c>
      <c r="F69" s="4" t="inlineStr">
        <is>
          <t>20100070970</t>
        </is>
      </c>
      <c r="G69" s="4" t="inlineStr">
        <is>
          <t>CP02</t>
        </is>
      </c>
      <c r="H69" s="22" t="inlineStr">
        <is>
          <t>C1</t>
        </is>
      </c>
      <c r="L69" t="inlineStr">
        <is>
          <t>RBT-HUEVOS-PARDOS-BELLS-PQ-X-30-UN JULIO 2026</t>
        </is>
      </c>
      <c r="M69" s="4" t="n">
        <v>2</v>
      </c>
      <c r="N69" s="4" t="n">
        <v>6371100005</v>
      </c>
      <c r="O69" s="5">
        <f>+_xlfn.XLOOKUP(N69,Hoja2!B:B,Hoja2!C:C,,0)</f>
        <v/>
      </c>
      <c r="P69" s="4" t="inlineStr">
        <is>
          <t>1030210001</t>
        </is>
      </c>
      <c r="Q69" t="n">
        <v>2281.35</v>
      </c>
      <c r="R69" s="4" t="inlineStr">
        <is>
          <t>C1</t>
        </is>
      </c>
      <c r="T69" s="24" t="inlineStr">
        <is>
          <t>RBT-HUEVOS-PARDOS-BELLS-PQ-X-30-UN JULIO 2026</t>
        </is>
      </c>
    </row>
    <row r="70" hidden="1">
      <c r="A70" s="21">
        <f>+A69+1</f>
        <v/>
      </c>
      <c r="B70" s="4" t="inlineStr">
        <is>
          <t>27.07.2026</t>
        </is>
      </c>
      <c r="C70" t="inlineStr">
        <is>
          <t>30.07.2026 311103721</t>
        </is>
      </c>
      <c r="D70" s="4" t="inlineStr">
        <is>
          <t>01-0F024-0683919</t>
        </is>
      </c>
      <c r="E70" s="4" t="n">
        <v>2</v>
      </c>
      <c r="F70" s="4" t="inlineStr">
        <is>
          <t>20100070970</t>
        </is>
      </c>
      <c r="G70" s="4" t="inlineStr">
        <is>
          <t>CP02</t>
        </is>
      </c>
      <c r="H70" s="22" t="inlineStr">
        <is>
          <t>C1</t>
        </is>
      </c>
      <c r="L70" t="inlineStr">
        <is>
          <t>RBT-BELL-S-HUEVO-PARDO-PQ8UN JULIO 2026</t>
        </is>
      </c>
      <c r="M70" s="4" t="n">
        <v>2</v>
      </c>
      <c r="N70" s="4" t="n">
        <v>6371100005</v>
      </c>
      <c r="O70" s="5">
        <f>+_xlfn.XLOOKUP(N70,Hoja2!B:B,Hoja2!C:C,,0)</f>
        <v/>
      </c>
      <c r="P70" s="4" t="inlineStr">
        <is>
          <t>1030210001</t>
        </is>
      </c>
      <c r="Q70" t="n">
        <v>4276.97</v>
      </c>
      <c r="R70" s="4" t="inlineStr">
        <is>
          <t>C1</t>
        </is>
      </c>
      <c r="T70" s="24" t="inlineStr">
        <is>
          <t>RBT-BELL-S-HUEVO-PARDO-PQ8UN JULIO 2026</t>
        </is>
      </c>
    </row>
    <row r="71" hidden="1">
      <c r="A71" s="21">
        <f>+A70+1</f>
        <v/>
      </c>
      <c r="B71" s="4" t="inlineStr">
        <is>
          <t>27.07.2026</t>
        </is>
      </c>
      <c r="C71" t="inlineStr">
        <is>
          <t>30.07.2026 311103776</t>
        </is>
      </c>
      <c r="D71" s="4" t="inlineStr">
        <is>
          <t>01-0F024-0683911</t>
        </is>
      </c>
      <c r="E71" s="4" t="n">
        <v>2</v>
      </c>
      <c r="F71" s="4" t="inlineStr">
        <is>
          <t>20100070970</t>
        </is>
      </c>
      <c r="G71" s="4" t="inlineStr">
        <is>
          <t>CP02</t>
        </is>
      </c>
      <c r="H71" s="22" t="inlineStr">
        <is>
          <t>C1</t>
        </is>
      </c>
      <c r="L71" t="inlineStr">
        <is>
          <t>RBT-LA-CALERA-HUEVO-PARDO-PQ30UN JULIO 2026</t>
        </is>
      </c>
      <c r="M71" s="4" t="n">
        <v>2</v>
      </c>
      <c r="N71" s="4" t="n">
        <v>6371100005</v>
      </c>
      <c r="O71" s="5">
        <f>+_xlfn.XLOOKUP(N71,Hoja2!B:B,Hoja2!C:C,,0)</f>
        <v/>
      </c>
      <c r="P71" s="4" t="inlineStr">
        <is>
          <t>1030210001</t>
        </is>
      </c>
      <c r="Q71" t="n">
        <v>985.75</v>
      </c>
      <c r="R71" s="4" t="inlineStr">
        <is>
          <t>C1</t>
        </is>
      </c>
      <c r="T71" s="24" t="inlineStr">
        <is>
          <t>RBT-LA-CALERA-HUEVO-PARDO-PQ30UN JULIO 2026</t>
        </is>
      </c>
    </row>
    <row r="72" hidden="1">
      <c r="A72" s="21">
        <f>+A71+1</f>
        <v/>
      </c>
      <c r="B72" s="4" t="inlineStr">
        <is>
          <t>27.07.2026</t>
        </is>
      </c>
      <c r="C72" t="inlineStr">
        <is>
          <t>30.07.2026 311103789</t>
        </is>
      </c>
      <c r="D72" s="4" t="inlineStr">
        <is>
          <t>01-0F024-0683875</t>
        </is>
      </c>
      <c r="E72" s="4" t="n">
        <v>2</v>
      </c>
      <c r="F72" s="4" t="inlineStr">
        <is>
          <t>20100070970</t>
        </is>
      </c>
      <c r="G72" s="4" t="inlineStr">
        <is>
          <t>CP02</t>
        </is>
      </c>
      <c r="H72" s="22" t="inlineStr">
        <is>
          <t>C1</t>
        </is>
      </c>
      <c r="L72" t="inlineStr">
        <is>
          <t>RBT-HUEVO-PARDO-LA-CALERA-BJX15UN JULIO 2026</t>
        </is>
      </c>
      <c r="M72" s="4" t="n">
        <v>2</v>
      </c>
      <c r="N72" s="4" t="n">
        <v>6371100005</v>
      </c>
      <c r="O72" s="5">
        <f>+_xlfn.XLOOKUP(N72,Hoja2!B:B,Hoja2!C:C,,0)</f>
        <v/>
      </c>
      <c r="P72" s="4" t="inlineStr">
        <is>
          <t>1030210001</t>
        </is>
      </c>
      <c r="Q72" t="n">
        <v>1497.16</v>
      </c>
      <c r="R72" s="4" t="inlineStr">
        <is>
          <t>C1</t>
        </is>
      </c>
      <c r="T72" s="24" t="inlineStr">
        <is>
          <t>RBT-HUEVO-PARDO-LA-CALERA-BJX15UN JULIO 2026</t>
        </is>
      </c>
    </row>
    <row r="73" hidden="1">
      <c r="A73" s="21">
        <f>+A72+1</f>
        <v/>
      </c>
      <c r="B73" s="4" t="inlineStr">
        <is>
          <t>27.07.2026</t>
        </is>
      </c>
      <c r="C73" t="inlineStr">
        <is>
          <t>30.07.2026 311103795</t>
        </is>
      </c>
      <c r="D73" s="4" t="inlineStr">
        <is>
          <t>01-0F024-0683906</t>
        </is>
      </c>
      <c r="E73" s="4" t="n">
        <v>2</v>
      </c>
      <c r="F73" s="4" t="inlineStr">
        <is>
          <t>20100070970</t>
        </is>
      </c>
      <c r="G73" s="4" t="inlineStr">
        <is>
          <t>CP02</t>
        </is>
      </c>
      <c r="H73" s="22" t="inlineStr">
        <is>
          <t>C1</t>
        </is>
      </c>
      <c r="L73" t="inlineStr">
        <is>
          <t>RBT-BELL-S-HUEVO-PARDO-PQ15UN JULIO 2026</t>
        </is>
      </c>
      <c r="M73" s="4" t="n">
        <v>2</v>
      </c>
      <c r="N73" s="4" t="n">
        <v>6371100005</v>
      </c>
      <c r="O73" s="5">
        <f>+_xlfn.XLOOKUP(N73,Hoja2!B:B,Hoja2!C:C,,0)</f>
        <v/>
      </c>
      <c r="P73" s="4" t="inlineStr">
        <is>
          <t>1030210001</t>
        </is>
      </c>
      <c r="Q73" t="n">
        <v>988.26</v>
      </c>
      <c r="R73" s="4" t="inlineStr">
        <is>
          <t>C1</t>
        </is>
      </c>
      <c r="T73" s="24" t="inlineStr">
        <is>
          <t>RBT-BELL-S-HUEVO-PARDO-PQ15UN JULIO 2026</t>
        </is>
      </c>
    </row>
    <row r="74" hidden="1">
      <c r="A74" s="21">
        <f>+A73+1</f>
        <v/>
      </c>
      <c r="B74" s="4" t="inlineStr">
        <is>
          <t>27.07.2026</t>
        </is>
      </c>
      <c r="C74" t="inlineStr">
        <is>
          <t>30.07.2026 311103810</t>
        </is>
      </c>
      <c r="D74" s="4" t="inlineStr">
        <is>
          <t>01-0F024-0683887</t>
        </is>
      </c>
      <c r="E74" s="4" t="n">
        <v>2</v>
      </c>
      <c r="F74" s="4" t="inlineStr">
        <is>
          <t>20100070970</t>
        </is>
      </c>
      <c r="G74" s="4" t="inlineStr">
        <is>
          <t>CP02</t>
        </is>
      </c>
      <c r="H74" s="22" t="inlineStr">
        <is>
          <t>C1</t>
        </is>
      </c>
      <c r="L74" t="inlineStr">
        <is>
          <t>RBT-BELL-S-HUEVO-PARDO-PQ30UN JULIO 2026</t>
        </is>
      </c>
      <c r="M74" s="4" t="n">
        <v>2</v>
      </c>
      <c r="N74" s="4" t="n">
        <v>6371100005</v>
      </c>
      <c r="O74" s="5">
        <f>+_xlfn.XLOOKUP(N74,Hoja2!B:B,Hoja2!C:C,,0)</f>
        <v/>
      </c>
      <c r="P74" s="4" t="inlineStr">
        <is>
          <t>1030210001</t>
        </is>
      </c>
      <c r="Q74" t="n">
        <v>759.0700000000001</v>
      </c>
      <c r="R74" s="4" t="inlineStr">
        <is>
          <t>C1</t>
        </is>
      </c>
      <c r="T74" s="24" t="inlineStr">
        <is>
          <t>RBT-BELL-S-HUEVO-PARDO-PQ30UN JULIO 2026</t>
        </is>
      </c>
    </row>
    <row r="75" hidden="1">
      <c r="A75" s="21">
        <f>+A74+1</f>
        <v/>
      </c>
      <c r="B75" s="4" t="inlineStr">
        <is>
          <t>27.07.2026</t>
        </is>
      </c>
      <c r="C75" t="inlineStr">
        <is>
          <t>30.07.2026 311103753</t>
        </is>
      </c>
      <c r="D75" s="4" t="inlineStr">
        <is>
          <t>01-0F024-0683884</t>
        </is>
      </c>
      <c r="E75" s="4" t="n">
        <v>2</v>
      </c>
      <c r="F75" s="4" t="inlineStr">
        <is>
          <t>20100070970</t>
        </is>
      </c>
      <c r="G75" s="4" t="inlineStr">
        <is>
          <t>CP02</t>
        </is>
      </c>
      <c r="H75" s="22" t="inlineStr">
        <is>
          <t>C1</t>
        </is>
      </c>
      <c r="L75" t="inlineStr">
        <is>
          <t>RBT-BELL-S-HUEVO-PARDO-PQ8UN JULIO 2026</t>
        </is>
      </c>
      <c r="M75" s="4" t="n">
        <v>2</v>
      </c>
      <c r="N75" s="4" t="n">
        <v>6371100005</v>
      </c>
      <c r="O75" s="5">
        <f>+_xlfn.XLOOKUP(N75,Hoja2!B:B,Hoja2!C:C,,0)</f>
        <v/>
      </c>
      <c r="P75" s="4" t="inlineStr">
        <is>
          <t>1030210001</t>
        </is>
      </c>
      <c r="Q75" t="n">
        <v>1062.76</v>
      </c>
      <c r="R75" s="4" t="inlineStr">
        <is>
          <t>C1</t>
        </is>
      </c>
      <c r="T75" s="24" t="inlineStr">
        <is>
          <t>RBT-BELL-S-HUEVO-PARDO-PQ8UN JULIO 2026</t>
        </is>
      </c>
    </row>
    <row r="76" hidden="1">
      <c r="A76" s="21">
        <f>+A75+1</f>
        <v/>
      </c>
      <c r="B76" s="4" t="inlineStr">
        <is>
          <t>27.07.2026</t>
        </is>
      </c>
      <c r="C76" t="inlineStr">
        <is>
          <t>30.07.2026 311103749</t>
        </is>
      </c>
      <c r="D76" s="4" t="inlineStr">
        <is>
          <t>01-0F024-0683893</t>
        </is>
      </c>
      <c r="E76" s="4" t="n">
        <v>2</v>
      </c>
      <c r="F76" s="4" t="inlineStr">
        <is>
          <t>20100070970</t>
        </is>
      </c>
      <c r="G76" s="4" t="inlineStr">
        <is>
          <t>CP02</t>
        </is>
      </c>
      <c r="H76" s="22" t="inlineStr">
        <is>
          <t>C1</t>
        </is>
      </c>
      <c r="L76" t="inlineStr">
        <is>
          <t>RBT-HUEVO-PARDO-LA-CALERA-BJX15UN JULIO 2026</t>
        </is>
      </c>
      <c r="M76" s="4" t="n">
        <v>2</v>
      </c>
      <c r="N76" s="4" t="n">
        <v>6371100005</v>
      </c>
      <c r="O76" s="5">
        <f>+_xlfn.XLOOKUP(N76,Hoja2!B:B,Hoja2!C:C,,0)</f>
        <v/>
      </c>
      <c r="P76" s="4" t="inlineStr">
        <is>
          <t>1030210001</t>
        </is>
      </c>
      <c r="Q76" t="n">
        <v>862.1</v>
      </c>
      <c r="R76" s="4" t="inlineStr">
        <is>
          <t>C1</t>
        </is>
      </c>
      <c r="T76" s="24" t="inlineStr">
        <is>
          <t>RBT-HUEVO-PARDO-LA-CALERA-BJX15UN JULIO 2026</t>
        </is>
      </c>
    </row>
    <row r="77" hidden="1">
      <c r="A77" s="21">
        <f>+A76+1</f>
        <v/>
      </c>
      <c r="B77" s="4" t="inlineStr">
        <is>
          <t>27.07.2026</t>
        </is>
      </c>
      <c r="C77" t="inlineStr">
        <is>
          <t>30.07.2026 311103701</t>
        </is>
      </c>
      <c r="D77" s="4" t="inlineStr">
        <is>
          <t>01-0F024-0683890</t>
        </is>
      </c>
      <c r="E77" s="4" t="n">
        <v>2</v>
      </c>
      <c r="F77" s="4" t="inlineStr">
        <is>
          <t>20100070970</t>
        </is>
      </c>
      <c r="G77" s="4" t="inlineStr">
        <is>
          <t>CP02</t>
        </is>
      </c>
      <c r="H77" s="22" t="inlineStr">
        <is>
          <t>C1</t>
        </is>
      </c>
      <c r="L77" t="inlineStr">
        <is>
          <t>RBT-LA-CALERA-HUEVO-HUMANITARIO-PQ12UN JULIO 2026</t>
        </is>
      </c>
      <c r="M77" s="4" t="n">
        <v>2</v>
      </c>
      <c r="N77" s="4" t="n">
        <v>6371100005</v>
      </c>
      <c r="O77" s="5">
        <f>+_xlfn.XLOOKUP(N77,Hoja2!B:B,Hoja2!C:C,,0)</f>
        <v/>
      </c>
      <c r="P77" s="4" t="inlineStr">
        <is>
          <t>1030210001</t>
        </is>
      </c>
      <c r="Q77" t="n">
        <v>1710.34</v>
      </c>
      <c r="R77" s="4" t="inlineStr">
        <is>
          <t>C1</t>
        </is>
      </c>
      <c r="T77" s="24" t="inlineStr">
        <is>
          <t>RBT-LA-CALERA-HUEVO-HUMANITARIO-PQ12UN JULIO 2026</t>
        </is>
      </c>
    </row>
    <row r="78" hidden="1">
      <c r="A78" s="21">
        <f>+A77+1</f>
        <v/>
      </c>
      <c r="B78" s="4" t="inlineStr">
        <is>
          <t>27.07.2026</t>
        </is>
      </c>
      <c r="C78" t="inlineStr">
        <is>
          <t>30.07.2026 311103775</t>
        </is>
      </c>
      <c r="D78" s="4" t="inlineStr">
        <is>
          <t>01-0F024-0683886</t>
        </is>
      </c>
      <c r="E78" s="4" t="n">
        <v>2</v>
      </c>
      <c r="F78" s="4" t="inlineStr">
        <is>
          <t>20100070970</t>
        </is>
      </c>
      <c r="G78" s="4" t="inlineStr">
        <is>
          <t>CP02</t>
        </is>
      </c>
      <c r="H78" s="22" t="inlineStr">
        <is>
          <t>C1</t>
        </is>
      </c>
      <c r="L78" t="inlineStr">
        <is>
          <t>RBT-HUEVOS-PARDOS-BELLS-PQ-X-30-UN JULIO 2026</t>
        </is>
      </c>
      <c r="M78" s="4" t="n">
        <v>2</v>
      </c>
      <c r="N78" s="4" t="n">
        <v>6371100005</v>
      </c>
      <c r="O78" s="5">
        <f>+_xlfn.XLOOKUP(N78,Hoja2!B:B,Hoja2!C:C,,0)</f>
        <v/>
      </c>
      <c r="P78" s="4" t="inlineStr">
        <is>
          <t>1030210001</t>
        </is>
      </c>
      <c r="Q78" t="n">
        <v>861.5700000000001</v>
      </c>
      <c r="R78" s="4" t="inlineStr">
        <is>
          <t>C1</t>
        </is>
      </c>
      <c r="T78" s="24" t="inlineStr">
        <is>
          <t>RBT-HUEVOS-PARDOS-BELLS-PQ-X-30-UN JULIO 2026</t>
        </is>
      </c>
    </row>
    <row r="79" hidden="1">
      <c r="A79" s="21">
        <f>+A78+1</f>
        <v/>
      </c>
      <c r="B79" s="4" t="inlineStr">
        <is>
          <t>27.07.2026</t>
        </is>
      </c>
      <c r="C79" t="inlineStr">
        <is>
          <t>30.07.2026 311103718</t>
        </is>
      </c>
      <c r="D79" s="4" t="inlineStr">
        <is>
          <t>01-0F024-0683882</t>
        </is>
      </c>
      <c r="E79" s="4" t="n">
        <v>2</v>
      </c>
      <c r="F79" s="4" t="inlineStr">
        <is>
          <t>20100070970</t>
        </is>
      </c>
      <c r="G79" s="4" t="inlineStr">
        <is>
          <t>CP02</t>
        </is>
      </c>
      <c r="H79" s="22" t="inlineStr">
        <is>
          <t>C1</t>
        </is>
      </c>
      <c r="L79" t="inlineStr">
        <is>
          <t>RBT-BELL-S-HUEVO-PARDO-PQ15UN JULIO 2026</t>
        </is>
      </c>
      <c r="M79" s="4" t="n">
        <v>2</v>
      </c>
      <c r="N79" s="4" t="n">
        <v>6371100005</v>
      </c>
      <c r="O79" s="5">
        <f>+_xlfn.XLOOKUP(N79,Hoja2!B:B,Hoja2!C:C,,0)</f>
        <v/>
      </c>
      <c r="P79" s="4" t="inlineStr">
        <is>
          <t>1030210001</t>
        </is>
      </c>
      <c r="Q79" t="n">
        <v>701.66</v>
      </c>
      <c r="R79" s="4" t="inlineStr">
        <is>
          <t>C1</t>
        </is>
      </c>
      <c r="T79" s="24" t="inlineStr">
        <is>
          <t>RBT-BELL-S-HUEVO-PARDO-PQ15UN JULIO 2026</t>
        </is>
      </c>
    </row>
    <row r="80" hidden="1">
      <c r="A80" s="21">
        <f>+A79+1</f>
        <v/>
      </c>
      <c r="B80" s="4" t="inlineStr">
        <is>
          <t>29.07.2026</t>
        </is>
      </c>
      <c r="C80" t="inlineStr">
        <is>
          <t>30.07.2026 311106124</t>
        </is>
      </c>
      <c r="D80" s="4" t="inlineStr">
        <is>
          <t>01-0FA39-0026859</t>
        </is>
      </c>
      <c r="E80" s="4" t="n">
        <v>2</v>
      </c>
      <c r="F80" s="4" t="inlineStr">
        <is>
          <t>20109072177</t>
        </is>
      </c>
      <c r="G80" s="4" t="inlineStr">
        <is>
          <t>CP02</t>
        </is>
      </c>
      <c r="H80" s="22" t="inlineStr">
        <is>
          <t>C1</t>
        </is>
      </c>
      <c r="L80" t="inlineStr">
        <is>
          <t>RBT-IMPULSO Y DEGUSTACION CENCOMEDIA WONG - M001 Huevos la Calera WL JULIO 2026</t>
        </is>
      </c>
      <c r="M80" s="4" t="n">
        <v>2</v>
      </c>
      <c r="N80" s="4" t="n">
        <v>6371100022</v>
      </c>
      <c r="O80" s="5">
        <f>+_xlfn.XLOOKUP(N80,Hoja2!B:B,Hoja2!C:C,,0)</f>
        <v/>
      </c>
      <c r="P80" s="4" t="inlineStr">
        <is>
          <t>1030210005</t>
        </is>
      </c>
      <c r="Q80" t="n">
        <v>3681.6</v>
      </c>
      <c r="R80" s="4" t="inlineStr">
        <is>
          <t>C1</t>
        </is>
      </c>
      <c r="T80" s="24" t="inlineStr">
        <is>
          <t>RBT-IMPULSO Y DEGUSTACION CENCOMEDIA WONG - M001 Huevos la Calera WL JULIO 2026</t>
        </is>
      </c>
    </row>
    <row r="81" hidden="1">
      <c r="A81" s="21">
        <f>+A80+1</f>
        <v/>
      </c>
      <c r="B81" s="4" t="inlineStr">
        <is>
          <t>30.07.2026</t>
        </is>
      </c>
      <c r="C81" t="inlineStr">
        <is>
          <t>31.07.2026 311264125</t>
        </is>
      </c>
      <c r="D81" s="4" t="inlineStr">
        <is>
          <t>01-0F007-0246996</t>
        </is>
      </c>
      <c r="E81" s="4" t="n">
        <v>2</v>
      </c>
      <c r="F81" s="4" t="inlineStr">
        <is>
          <t>20100070970</t>
        </is>
      </c>
      <c r="G81" s="4" t="inlineStr">
        <is>
          <t>CP02</t>
        </is>
      </c>
      <c r="H81" s="22" t="inlineStr">
        <is>
          <t>C1</t>
        </is>
      </c>
      <c r="L81" t="inlineStr">
        <is>
          <t>RBT-INGRESO PORTAL B2B-JULIO 2026</t>
        </is>
      </c>
      <c r="M81" s="4" t="n">
        <v>2</v>
      </c>
      <c r="N81" s="4" t="n">
        <v>6371100006</v>
      </c>
      <c r="O81" s="5">
        <f>+_xlfn.XLOOKUP(N81,Hoja2!B:B,Hoja2!C:C,,0)</f>
        <v/>
      </c>
      <c r="P81" s="4" t="inlineStr">
        <is>
          <t>1030210001</t>
        </is>
      </c>
      <c r="Q81" t="n">
        <v>787.0599999999999</v>
      </c>
      <c r="R81" s="4" t="inlineStr">
        <is>
          <t>C1</t>
        </is>
      </c>
      <c r="T81" s="24" t="inlineStr">
        <is>
          <t>RBT-INGRESO PORTAL B2B-JULIO 2026</t>
        </is>
      </c>
    </row>
    <row r="82" hidden="1">
      <c r="A82" s="21">
        <f>+A81+1</f>
        <v/>
      </c>
      <c r="B82" s="4" t="inlineStr">
        <is>
          <t>30.07.2026</t>
        </is>
      </c>
      <c r="C82" t="inlineStr">
        <is>
          <t>14.08.2026 312864587</t>
        </is>
      </c>
      <c r="D82" s="4" t="inlineStr">
        <is>
          <t>01-0FA38-0668592</t>
        </is>
      </c>
      <c r="E82" s="4" t="n">
        <v>2</v>
      </c>
      <c r="F82" s="4" t="inlineStr">
        <is>
          <t>20109072177</t>
        </is>
      </c>
      <c r="G82" s="4" t="inlineStr">
        <is>
          <t>CP02</t>
        </is>
      </c>
      <c r="H82" s="22" t="inlineStr">
        <is>
          <t>C1</t>
        </is>
      </c>
      <c r="L82" t="inlineStr">
        <is>
          <t>RBT-PROMOCIONES DIVERSAS LM - M001 JULIO 2026</t>
        </is>
      </c>
      <c r="M82" s="4" t="n">
        <v>2</v>
      </c>
      <c r="N82" s="4" t="n">
        <v>6371100002</v>
      </c>
      <c r="O82" s="5">
        <f>+_xlfn.XLOOKUP(N82,Hoja2!B:B,Hoja2!C:C,,0)</f>
        <v/>
      </c>
      <c r="P82" s="4" t="inlineStr">
        <is>
          <t>1030210005</t>
        </is>
      </c>
      <c r="Q82" t="n">
        <v>1071.2</v>
      </c>
      <c r="R82" s="4" t="inlineStr">
        <is>
          <t>C1</t>
        </is>
      </c>
      <c r="T82" s="24" t="inlineStr">
        <is>
          <t>RBT-PROMOCIONES DIVERSAS LM - M001 JULIO 2026</t>
        </is>
      </c>
    </row>
    <row r="83" hidden="1">
      <c r="A83" s="21">
        <f>+A82+1</f>
        <v/>
      </c>
      <c r="B83" s="4" t="inlineStr">
        <is>
          <t>30.07.2026</t>
        </is>
      </c>
      <c r="C83" t="inlineStr">
        <is>
          <t>14.08.2026 312863982</t>
        </is>
      </c>
      <c r="D83" s="4" t="inlineStr">
        <is>
          <t>01-0FA38-0668594</t>
        </is>
      </c>
      <c r="E83" s="4" t="n">
        <v>2</v>
      </c>
      <c r="F83" s="4" t="inlineStr">
        <is>
          <t>20109072177</t>
        </is>
      </c>
      <c r="G83" s="4" t="inlineStr">
        <is>
          <t>CP02</t>
        </is>
      </c>
      <c r="H83" s="22" t="inlineStr">
        <is>
          <t>C1</t>
        </is>
      </c>
      <c r="L83" t="inlineStr">
        <is>
          <t>RBT-PROMOCIONES DIVERSAS EC - M001 JULIO 2026</t>
        </is>
      </c>
      <c r="M83" s="4" t="n">
        <v>2</v>
      </c>
      <c r="N83" s="4" t="n">
        <v>6371100002</v>
      </c>
      <c r="O83" s="5">
        <f>+_xlfn.XLOOKUP(N83,Hoja2!B:B,Hoja2!C:C,,0)</f>
        <v/>
      </c>
      <c r="P83" s="4" t="inlineStr">
        <is>
          <t>1030210005</t>
        </is>
      </c>
      <c r="Q83" t="n">
        <v>14205.08</v>
      </c>
      <c r="R83" s="4" t="inlineStr">
        <is>
          <t>C1</t>
        </is>
      </c>
      <c r="T83" s="24" t="inlineStr">
        <is>
          <t>RBT-PROMOCIONES DIVERSAS EC - M001 JULIO 2026</t>
        </is>
      </c>
    </row>
    <row r="84" hidden="1">
      <c r="A84" s="21">
        <f>+A83+1</f>
        <v/>
      </c>
      <c r="B84" s="4" t="inlineStr">
        <is>
          <t>30.07.2026</t>
        </is>
      </c>
      <c r="C84" t="inlineStr">
        <is>
          <t>14.08.2026 312864638</t>
        </is>
      </c>
      <c r="D84" s="4" t="inlineStr">
        <is>
          <t>01-0FA38-0668590</t>
        </is>
      </c>
      <c r="E84" s="4" t="n">
        <v>2</v>
      </c>
      <c r="F84" s="4" t="inlineStr">
        <is>
          <t>20109072177</t>
        </is>
      </c>
      <c r="G84" s="4" t="inlineStr">
        <is>
          <t>CP02</t>
        </is>
      </c>
      <c r="H84" s="22" t="inlineStr">
        <is>
          <t>C1</t>
        </is>
      </c>
      <c r="L84" t="inlineStr">
        <is>
          <t>RBT-PROMOCIONES DIVERSAS EC - M001 JULIO 2026</t>
        </is>
      </c>
      <c r="M84" s="4" t="n">
        <v>2</v>
      </c>
      <c r="N84" s="4" t="n">
        <v>6371100002</v>
      </c>
      <c r="O84" s="5">
        <f>+_xlfn.XLOOKUP(N84,Hoja2!B:B,Hoja2!C:C,,0)</f>
        <v/>
      </c>
      <c r="P84" s="4" t="inlineStr">
        <is>
          <t>1030210005</t>
        </is>
      </c>
      <c r="Q84" t="n">
        <v>10324.73</v>
      </c>
      <c r="R84" s="4" t="inlineStr">
        <is>
          <t>C1</t>
        </is>
      </c>
      <c r="T84" s="24" t="inlineStr">
        <is>
          <t>RBT-PROMOCIONES DIVERSAS EC - M001 JULIO 2026</t>
        </is>
      </c>
    </row>
    <row r="85" hidden="1">
      <c r="A85" s="21">
        <f>+A84+1</f>
        <v/>
      </c>
      <c r="B85" s="4" t="inlineStr">
        <is>
          <t>31.07.2026</t>
        </is>
      </c>
      <c r="C85" t="inlineStr">
        <is>
          <t>14.08.2026 312862430</t>
        </is>
      </c>
      <c r="D85" s="4" t="inlineStr">
        <is>
          <t>01-0FA38-0671588</t>
        </is>
      </c>
      <c r="E85" s="4" t="n">
        <v>2</v>
      </c>
      <c r="F85" s="4" t="inlineStr">
        <is>
          <t>20109072177</t>
        </is>
      </c>
      <c r="G85" s="4" t="inlineStr">
        <is>
          <t>CP02</t>
        </is>
      </c>
      <c r="H85" s="22" t="inlineStr">
        <is>
          <t>C1</t>
        </is>
      </c>
      <c r="L85" t="inlineStr">
        <is>
          <t>RBT-SERVICIO DE INFORMACION COMERCIAL B2B - M001 Periodo del 01.07.2026 al 31.07.2026</t>
        </is>
      </c>
      <c r="M85" s="4" t="n">
        <v>2</v>
      </c>
      <c r="N85" s="4" t="n">
        <v>6371100006</v>
      </c>
      <c r="O85" s="5">
        <f>+_xlfn.XLOOKUP(N85,Hoja2!B:B,Hoja2!C:C,,0)</f>
        <v/>
      </c>
      <c r="P85" s="4" t="inlineStr">
        <is>
          <t>1030210005</t>
        </is>
      </c>
      <c r="Q85" t="n">
        <v>11098.37</v>
      </c>
      <c r="R85" s="4" t="inlineStr">
        <is>
          <t>C1</t>
        </is>
      </c>
      <c r="T85" s="24" t="inlineStr">
        <is>
          <t>RBT-SERVICIO DE INFORMACION COMERCIAL B2B - M001 Periodo del 01.07.2026 al 31.07.2026</t>
        </is>
      </c>
    </row>
    <row r="86" hidden="1">
      <c r="A86" s="21">
        <f>+A85+1</f>
        <v/>
      </c>
      <c r="B86" s="4" t="inlineStr">
        <is>
          <t>31.07.2026</t>
        </is>
      </c>
      <c r="C86" t="inlineStr">
        <is>
          <t>14.08.2026 312862433</t>
        </is>
      </c>
      <c r="D86" s="4" t="inlineStr">
        <is>
          <t>01-0FA38-0671587</t>
        </is>
      </c>
      <c r="E86" s="4" t="n">
        <v>2</v>
      </c>
      <c r="F86" s="4" t="inlineStr">
        <is>
          <t>20109072177</t>
        </is>
      </c>
      <c r="G86" s="4" t="inlineStr">
        <is>
          <t>CP02</t>
        </is>
      </c>
      <c r="H86" s="22" t="inlineStr">
        <is>
          <t>C1</t>
        </is>
      </c>
      <c r="L86" t="inlineStr">
        <is>
          <t>RBT-DESARROLLO COMERCIAL - M001 Periodo del 27.07.2026 al 31.07.2026</t>
        </is>
      </c>
      <c r="M86" s="4" t="n">
        <v>2</v>
      </c>
      <c r="N86" s="4" t="n">
        <v>6371100002</v>
      </c>
      <c r="O86" s="5">
        <f>+_xlfn.XLOOKUP(N86,Hoja2!B:B,Hoja2!C:C,,0)</f>
        <v/>
      </c>
      <c r="P86" s="4" t="inlineStr">
        <is>
          <t>1030210005</t>
        </is>
      </c>
      <c r="Q86" t="n">
        <v>63611.43</v>
      </c>
      <c r="R86" s="4" t="inlineStr">
        <is>
          <t>C1</t>
        </is>
      </c>
      <c r="T86" s="24" t="inlineStr">
        <is>
          <t>RBT-DESARROLLO COMERCIAL - M001 Periodo del 27.07.2026 al 31.07.2026</t>
        </is>
      </c>
    </row>
    <row r="87" hidden="1">
      <c r="A87" s="21">
        <f>+A86+1</f>
        <v/>
      </c>
      <c r="B87" s="4" t="inlineStr">
        <is>
          <t>31.07.2026</t>
        </is>
      </c>
      <c r="C87" t="inlineStr">
        <is>
          <t>03.08.2026 311373961</t>
        </is>
      </c>
      <c r="D87" s="4" t="inlineStr">
        <is>
          <t>01-0F001-0056817</t>
        </is>
      </c>
      <c r="E87" s="4" t="n">
        <v>2</v>
      </c>
      <c r="F87" s="4" t="inlineStr">
        <is>
          <t>20601233488</t>
        </is>
      </c>
      <c r="G87" s="4" t="inlineStr">
        <is>
          <t>CP02</t>
        </is>
      </c>
      <c r="H87" s="22" t="inlineStr">
        <is>
          <t>C1</t>
        </is>
      </c>
      <c r="L87" t="inlineStr">
        <is>
          <t>RBT-INVERSION PUBLICITARIA1.000-OPERACION SUJETA AL SPOT CTA. BCO. DE LA NACION EN M.N. N° 00048020283 JULIO 2026</t>
        </is>
      </c>
      <c r="M87" s="4" t="n">
        <v>2</v>
      </c>
      <c r="N87" s="4" t="n">
        <v>6371100003</v>
      </c>
      <c r="O87" s="5">
        <f>+_xlfn.XLOOKUP(N87,Hoja2!B:B,Hoja2!C:C,,0)</f>
        <v/>
      </c>
      <c r="P87" s="4" t="inlineStr">
        <is>
          <t>1030210002</t>
        </is>
      </c>
      <c r="Q87" t="n">
        <v>13594.74</v>
      </c>
      <c r="R87" s="4" t="inlineStr">
        <is>
          <t>C1</t>
        </is>
      </c>
      <c r="T87" s="24" t="inlineStr">
        <is>
          <t>RBT-INVERSION PUBLICITARIA1.000-OPERACION SUJETA AL SPOT CTA. BCO. DE LA NACION EN M.N. N° 00048020283 JULIO 2026</t>
        </is>
      </c>
    </row>
    <row r="88" hidden="1">
      <c r="A88" s="21">
        <f>+A87+1</f>
        <v/>
      </c>
      <c r="B88" s="4" t="inlineStr">
        <is>
          <t>31.07.2026</t>
        </is>
      </c>
      <c r="C88" t="inlineStr">
        <is>
          <t>14.08.2026 312866269</t>
        </is>
      </c>
      <c r="D88" s="4" t="inlineStr">
        <is>
          <t>01-0FA38-0669439</t>
        </is>
      </c>
      <c r="E88" s="4" t="n">
        <v>2</v>
      </c>
      <c r="F88" s="4" t="inlineStr">
        <is>
          <t>20109072177</t>
        </is>
      </c>
      <c r="G88" s="4" t="inlineStr">
        <is>
          <t>CP02</t>
        </is>
      </c>
      <c r="H88" s="22" t="inlineStr">
        <is>
          <t>C1</t>
        </is>
      </c>
      <c r="L88" t="inlineStr">
        <is>
          <t>RBT-EXTRA ACUERDO - M001 JULIO 2026</t>
        </is>
      </c>
      <c r="M88" s="4" t="n">
        <v>2</v>
      </c>
      <c r="N88" s="4" t="n">
        <v>6371100022</v>
      </c>
      <c r="O88" s="5">
        <f>+_xlfn.XLOOKUP(N88,Hoja2!B:B,Hoja2!C:C,,0)</f>
        <v/>
      </c>
      <c r="P88" s="4" t="inlineStr">
        <is>
          <t>1030210005</t>
        </is>
      </c>
      <c r="Q88" t="n">
        <v>29500</v>
      </c>
      <c r="R88" s="4" t="inlineStr">
        <is>
          <t>C1</t>
        </is>
      </c>
      <c r="T88" s="24" t="inlineStr">
        <is>
          <t>RBT-EXTRA ACUERDO - M001 JULIO 2026</t>
        </is>
      </c>
    </row>
    <row r="89" hidden="1">
      <c r="A89" s="21">
        <f>+A88+1</f>
        <v/>
      </c>
      <c r="B89" s="4" t="inlineStr">
        <is>
          <t>31.07.2026</t>
        </is>
      </c>
      <c r="C89" t="inlineStr">
        <is>
          <t>14.08.2026 312865595</t>
        </is>
      </c>
      <c r="D89" s="4" t="inlineStr">
        <is>
          <t>01-0FA39-0027002</t>
        </is>
      </c>
      <c r="E89" s="4" t="n">
        <v>2</v>
      </c>
      <c r="F89" s="4" t="inlineStr">
        <is>
          <t>20109072177</t>
        </is>
      </c>
      <c r="G89" s="4" t="inlineStr">
        <is>
          <t>CP02</t>
        </is>
      </c>
      <c r="H89" s="22" t="inlineStr">
        <is>
          <t>C1</t>
        </is>
      </c>
      <c r="L89" t="inlineStr">
        <is>
          <t>RBT-EXTRA ACUERDO - M001 JULIO 2026</t>
        </is>
      </c>
      <c r="M89" s="4" t="n">
        <v>2</v>
      </c>
      <c r="N89" s="4" t="n">
        <v>6371100022</v>
      </c>
      <c r="O89" s="5">
        <f>+_xlfn.XLOOKUP(N89,Hoja2!B:B,Hoja2!C:C,,0)</f>
        <v/>
      </c>
      <c r="P89" s="4" t="inlineStr">
        <is>
          <t>1030210005</t>
        </is>
      </c>
      <c r="Q89" t="n">
        <v>21240</v>
      </c>
      <c r="R89" s="4" t="inlineStr">
        <is>
          <t>C1</t>
        </is>
      </c>
      <c r="T89" s="24" t="inlineStr">
        <is>
          <t>RBT-EXTRA ACUERDO - M001 JULIO 2026</t>
        </is>
      </c>
    </row>
    <row r="90" hidden="1">
      <c r="A90" s="21">
        <f>+A89+1</f>
        <v/>
      </c>
      <c r="B90" s="4" t="inlineStr">
        <is>
          <t>31.07.2026</t>
        </is>
      </c>
      <c r="C90" t="inlineStr">
        <is>
          <t>04.08.2026 311501295</t>
        </is>
      </c>
      <c r="D90" s="4" t="inlineStr">
        <is>
          <t>01-0F021-0242525</t>
        </is>
      </c>
      <c r="E90" s="4" t="n">
        <v>2</v>
      </c>
      <c r="F90" s="4" t="inlineStr">
        <is>
          <t>20100070970</t>
        </is>
      </c>
      <c r="G90" s="4" t="inlineStr">
        <is>
          <t>CP02</t>
        </is>
      </c>
      <c r="H90" s="22" t="inlineStr">
        <is>
          <t>C1</t>
        </is>
      </c>
      <c r="L90" t="inlineStr">
        <is>
          <t>RBT-NO DEVOLUCION 1.000 JULIO 2026</t>
        </is>
      </c>
      <c r="M90" s="4" t="n">
        <v>2</v>
      </c>
      <c r="N90" s="4" t="n">
        <v>6371100005</v>
      </c>
      <c r="O90" s="5">
        <f>+_xlfn.XLOOKUP(N90,Hoja2!B:B,Hoja2!C:C,,0)</f>
        <v/>
      </c>
      <c r="P90" s="4" t="inlineStr">
        <is>
          <t>1030210001</t>
        </is>
      </c>
      <c r="Q90" t="n">
        <v>225380.07</v>
      </c>
      <c r="R90" s="4" t="inlineStr">
        <is>
          <t>C1</t>
        </is>
      </c>
      <c r="T90" s="24" t="inlineStr">
        <is>
          <t>RBT-NO DEVOLUCION 1.000 JULIO 2026</t>
        </is>
      </c>
    </row>
    <row r="91" hidden="1">
      <c r="A91" s="21">
        <f>+A90+1</f>
        <v/>
      </c>
      <c r="B91" s="4" t="inlineStr">
        <is>
          <t>31.07.2026</t>
        </is>
      </c>
      <c r="C91" t="inlineStr">
        <is>
          <t>04.08.2026 311501701</t>
        </is>
      </c>
      <c r="D91" s="4" t="inlineStr">
        <is>
          <t>01-0F021-0242524</t>
        </is>
      </c>
      <c r="E91" s="4" t="n">
        <v>2</v>
      </c>
      <c r="F91" s="4" t="inlineStr">
        <is>
          <t>20100070970</t>
        </is>
      </c>
      <c r="G91" s="4" t="inlineStr">
        <is>
          <t>CP02</t>
        </is>
      </c>
      <c r="H91" s="22" t="inlineStr">
        <is>
          <t>C1</t>
        </is>
      </c>
      <c r="L91" t="inlineStr">
        <is>
          <t>RBT-INVERSION PUBLICITARIA 1.000 JULIO 2026</t>
        </is>
      </c>
      <c r="M91" s="4" t="n">
        <v>2</v>
      </c>
      <c r="N91" s="4" t="n">
        <v>6371100003</v>
      </c>
      <c r="O91" s="5">
        <f>+_xlfn.XLOOKUP(N91,Hoja2!B:B,Hoja2!C:C,,0)</f>
        <v/>
      </c>
      <c r="P91" s="4" t="inlineStr">
        <is>
          <t>1030210001</t>
        </is>
      </c>
      <c r="Q91" t="n">
        <v>2627965.83</v>
      </c>
      <c r="R91" s="4" t="inlineStr">
        <is>
          <t>C1</t>
        </is>
      </c>
      <c r="T91" s="24" t="inlineStr">
        <is>
          <t>RBT-INVERSION PUBLICITARIA 1.000 JULIO 2026</t>
        </is>
      </c>
    </row>
    <row r="92" hidden="1">
      <c r="A92" s="21">
        <f>+A91+1</f>
        <v/>
      </c>
      <c r="B92" s="4" t="inlineStr">
        <is>
          <t>09.07.2026</t>
        </is>
      </c>
      <c r="C92" t="inlineStr">
        <is>
          <t>20.07.2026 310633261</t>
        </is>
      </c>
      <c r="D92" s="4" t="inlineStr">
        <is>
          <t>01-0FB02-0054876</t>
        </is>
      </c>
      <c r="E92" s="4" t="n">
        <v>2</v>
      </c>
      <c r="F92" s="4" t="inlineStr">
        <is>
          <t>20602743960</t>
        </is>
      </c>
      <c r="G92" s="4" t="inlineStr">
        <is>
          <t>CP02</t>
        </is>
      </c>
      <c r="H92" s="22" t="inlineStr">
        <is>
          <t>C1</t>
        </is>
      </c>
      <c r="L92" t="inlineStr">
        <is>
          <t>RBT-JUNIO 2026 - PARTICIPACION PROMOXXO JUNIO 2026</t>
        </is>
      </c>
      <c r="M92" s="4" t="n">
        <v>2</v>
      </c>
      <c r="N92" s="4" t="n">
        <v>6371100002</v>
      </c>
      <c r="O92" s="5">
        <f>+_xlfn.XLOOKUP(N92,Hoja2!B:B,Hoja2!C:C,,0)</f>
        <v/>
      </c>
      <c r="P92" s="4" t="inlineStr">
        <is>
          <t>1030210008</t>
        </is>
      </c>
      <c r="Q92" t="n">
        <v>6275.38</v>
      </c>
      <c r="R92" s="4" t="inlineStr">
        <is>
          <t>C1</t>
        </is>
      </c>
      <c r="T92" s="24" t="inlineStr">
        <is>
          <t>RBT-JUNIO 2026 - PARTICIPACION PROMOXXO JUNIO 2026</t>
        </is>
      </c>
    </row>
    <row r="93" hidden="1">
      <c r="A93" s="21">
        <f>+A92+1</f>
        <v/>
      </c>
      <c r="B93" s="4" t="inlineStr">
        <is>
          <t>13.07.2026</t>
        </is>
      </c>
      <c r="C93" t="inlineStr">
        <is>
          <t>20.07.2026 310633397</t>
        </is>
      </c>
      <c r="D93" s="4" t="inlineStr">
        <is>
          <t>01-0FB02-0055414</t>
        </is>
      </c>
      <c r="E93" s="4" t="n">
        <v>2</v>
      </c>
      <c r="F93" s="4" t="inlineStr">
        <is>
          <t>20602743960</t>
        </is>
      </c>
      <c r="G93" s="4" t="inlineStr">
        <is>
          <t>CP02</t>
        </is>
      </c>
      <c r="H93" s="22" t="inlineStr">
        <is>
          <t>C1</t>
        </is>
      </c>
      <c r="L93" t="inlineStr">
        <is>
          <t>RBT-NO DEVOLUCION DIRECTA 01 AL 12 JULIO JUNIO 2026</t>
        </is>
      </c>
      <c r="M93" s="4" t="n">
        <v>2</v>
      </c>
      <c r="N93" s="4" t="n">
        <v>6371100005</v>
      </c>
      <c r="O93" s="5">
        <f>+_xlfn.XLOOKUP(N93,Hoja2!B:B,Hoja2!C:C,,0)</f>
        <v/>
      </c>
      <c r="P93" s="4" t="inlineStr">
        <is>
          <t>1030210008</t>
        </is>
      </c>
      <c r="Q93" t="n">
        <v>6139.36</v>
      </c>
      <c r="R93" s="4" t="inlineStr">
        <is>
          <t>C1</t>
        </is>
      </c>
      <c r="T93" s="24" t="inlineStr">
        <is>
          <t>RBT-NO DEVOLUCION DIRECTA 01 AL 12 JULIO JUNIO 2026</t>
        </is>
      </c>
    </row>
    <row r="94" hidden="1">
      <c r="A94" s="21">
        <f>+A93+1</f>
        <v/>
      </c>
      <c r="B94" s="4" t="inlineStr">
        <is>
          <t>13.07.2026</t>
        </is>
      </c>
      <c r="C94" t="inlineStr">
        <is>
          <t>20.07.2026 310633328</t>
        </is>
      </c>
      <c r="D94" s="4" t="inlineStr">
        <is>
          <t>01-0FB02-0055290</t>
        </is>
      </c>
      <c r="E94" s="4" t="n">
        <v>2</v>
      </c>
      <c r="F94" s="4" t="inlineStr">
        <is>
          <t>20602743960</t>
        </is>
      </c>
      <c r="G94" s="4" t="inlineStr">
        <is>
          <t>CP02</t>
        </is>
      </c>
      <c r="H94" s="22" t="inlineStr">
        <is>
          <t>C1</t>
        </is>
      </c>
      <c r="L94" t="inlineStr">
        <is>
          <t>RBT-BONIFICACION POR COMPRAS 01 AL 12 JULIO</t>
        </is>
      </c>
      <c r="M94" s="4" t="n">
        <v>2</v>
      </c>
      <c r="N94" s="4" t="n">
        <v>6371100003</v>
      </c>
      <c r="O94" s="5">
        <f>+_xlfn.XLOOKUP(N94,Hoja2!B:B,Hoja2!C:C,,0)</f>
        <v/>
      </c>
      <c r="P94" s="4" t="inlineStr">
        <is>
          <t>1030210008</t>
        </is>
      </c>
      <c r="Q94" t="n">
        <v>12278.73</v>
      </c>
      <c r="R94" s="4" t="inlineStr">
        <is>
          <t>C1</t>
        </is>
      </c>
      <c r="T94" s="24" t="inlineStr">
        <is>
          <t>RBT-BONIFICACION POR COMPRAS 01 AL 12 JULIO</t>
        </is>
      </c>
    </row>
    <row r="95" hidden="1">
      <c r="A95" s="21">
        <f>+A94+1</f>
        <v/>
      </c>
      <c r="B95" s="4" t="inlineStr">
        <is>
          <t>09.07.2026</t>
        </is>
      </c>
      <c r="C95" t="inlineStr">
        <is>
          <t>20.07.2026 310633050</t>
        </is>
      </c>
      <c r="D95" s="4" t="inlineStr">
        <is>
          <t>01-0FB02-0054838</t>
        </is>
      </c>
      <c r="E95" s="4" t="n">
        <v>2</v>
      </c>
      <c r="F95" s="4" t="inlineStr">
        <is>
          <t>20602743960</t>
        </is>
      </c>
      <c r="G95" s="4" t="inlineStr">
        <is>
          <t>CP02</t>
        </is>
      </c>
      <c r="H95" s="22" t="inlineStr">
        <is>
          <t>C1</t>
        </is>
      </c>
      <c r="L95" t="inlineStr">
        <is>
          <t>RBT-NO DEVOLUCION DIRECTA 11 AL 30 JUNIO</t>
        </is>
      </c>
      <c r="M95" s="4" t="n">
        <v>2</v>
      </c>
      <c r="N95" s="4" t="n">
        <v>6371100005</v>
      </c>
      <c r="O95" s="5">
        <f>+_xlfn.XLOOKUP(N95,Hoja2!B:B,Hoja2!C:C,,0)</f>
        <v/>
      </c>
      <c r="P95" s="4" t="inlineStr">
        <is>
          <t>1030210008</t>
        </is>
      </c>
      <c r="Q95" t="n">
        <v>11148.43</v>
      </c>
      <c r="R95" s="4" t="inlineStr">
        <is>
          <t>C1</t>
        </is>
      </c>
      <c r="T95" s="24" t="inlineStr">
        <is>
          <t>RBT-NO DEVOLUCION DIRECTA 11 AL 30 JUNIO</t>
        </is>
      </c>
    </row>
    <row r="96" hidden="1">
      <c r="A96" s="21">
        <f>+A95+1</f>
        <v/>
      </c>
      <c r="B96" s="4" t="inlineStr">
        <is>
          <t>09.07.2026</t>
        </is>
      </c>
      <c r="C96" t="inlineStr">
        <is>
          <t>20.07.2026 310632995</t>
        </is>
      </c>
      <c r="D96" s="4" t="inlineStr">
        <is>
          <t>01-0FB02-0054698</t>
        </is>
      </c>
      <c r="E96" s="4" t="n">
        <v>2</v>
      </c>
      <c r="F96" s="4" t="inlineStr">
        <is>
          <t>20602743960</t>
        </is>
      </c>
      <c r="G96" s="4" t="inlineStr">
        <is>
          <t>CP02</t>
        </is>
      </c>
      <c r="H96" s="22" t="inlineStr">
        <is>
          <t>C1</t>
        </is>
      </c>
      <c r="L96" t="inlineStr">
        <is>
          <t>RBT-APORTE B2B 11 AL 30 JUNIO</t>
        </is>
      </c>
      <c r="M96" s="4" t="n">
        <v>2</v>
      </c>
      <c r="N96" s="4" t="n">
        <v>6371100006</v>
      </c>
      <c r="O96" s="5">
        <f>+_xlfn.XLOOKUP(N96,Hoja2!B:B,Hoja2!C:C,,0)</f>
        <v/>
      </c>
      <c r="P96" s="4" t="inlineStr">
        <is>
          <t>1030210008</t>
        </is>
      </c>
      <c r="Q96" t="n">
        <v>780.39</v>
      </c>
      <c r="R96" s="4" t="inlineStr">
        <is>
          <t>C1</t>
        </is>
      </c>
      <c r="T96" s="24" t="inlineStr">
        <is>
          <t>RBT-APORTE B2B 11 AL 30 JUNIO</t>
        </is>
      </c>
    </row>
    <row r="97" hidden="1">
      <c r="A97" s="21">
        <f>+A96+1</f>
        <v/>
      </c>
      <c r="B97" s="4" t="inlineStr">
        <is>
          <t>09.07.2026</t>
        </is>
      </c>
      <c r="C97" t="inlineStr">
        <is>
          <t>20.07.2026 310632874</t>
        </is>
      </c>
      <c r="D97" s="4" t="inlineStr">
        <is>
          <t>01-0FB02-0054147</t>
        </is>
      </c>
      <c r="E97" s="4" t="n">
        <v>2</v>
      </c>
      <c r="F97" s="4" t="inlineStr">
        <is>
          <t>20602743960</t>
        </is>
      </c>
      <c r="G97" s="4" t="inlineStr">
        <is>
          <t>CP02</t>
        </is>
      </c>
      <c r="H97" s="22" t="inlineStr">
        <is>
          <t>C1</t>
        </is>
      </c>
      <c r="L97" t="inlineStr">
        <is>
          <t>RBT-BONIFICACION POR COMPRAS 11 AL 30 JUNIO</t>
        </is>
      </c>
      <c r="M97" s="4" t="n">
        <v>2</v>
      </c>
      <c r="N97" s="4" t="n">
        <v>6371100003</v>
      </c>
      <c r="O97" s="5">
        <f>+_xlfn.XLOOKUP(N97,Hoja2!B:B,Hoja2!C:C,,0)</f>
        <v/>
      </c>
      <c r="P97" s="4" t="inlineStr">
        <is>
          <t>1030210008</t>
        </is>
      </c>
      <c r="Q97" t="n">
        <v>22296.87</v>
      </c>
      <c r="R97" s="4" t="inlineStr">
        <is>
          <t>C1</t>
        </is>
      </c>
      <c r="T97" s="24" t="inlineStr">
        <is>
          <t>RBT-BONIFICACION POR COMPRAS 11 AL 30 JUNIO</t>
        </is>
      </c>
    </row>
    <row r="98" hidden="1">
      <c r="A98" s="21">
        <f>+A97+1</f>
        <v/>
      </c>
      <c r="B98" s="4" t="inlineStr">
        <is>
          <t>07.07.2026</t>
        </is>
      </c>
      <c r="D98" s="4" t="inlineStr">
        <is>
          <t>01-0FF01-0152673</t>
        </is>
      </c>
      <c r="E98" s="4" t="n">
        <v>2</v>
      </c>
      <c r="F98" s="4" t="inlineStr">
        <is>
          <t>20393864886</t>
        </is>
      </c>
      <c r="G98" s="4" t="inlineStr">
        <is>
          <t>CP02</t>
        </is>
      </c>
      <c r="H98" s="22" t="inlineStr">
        <is>
          <t>C0</t>
        </is>
      </c>
      <c r="L98" t="inlineStr">
        <is>
          <t>RBT-RAPPEL FIJO JUNIO 2026</t>
        </is>
      </c>
      <c r="M98" s="4" t="n">
        <v>2</v>
      </c>
      <c r="N98" s="4" t="n">
        <v>6371100003</v>
      </c>
      <c r="O98" s="5">
        <f>+_xlfn.XLOOKUP(N98,Hoja2!B:B,Hoja2!C:C,,0)</f>
        <v/>
      </c>
      <c r="P98" s="4" t="inlineStr">
        <is>
          <t>1030210004</t>
        </is>
      </c>
      <c r="Q98" t="n">
        <v>3576.7</v>
      </c>
      <c r="R98" s="4" t="inlineStr">
        <is>
          <t>C0</t>
        </is>
      </c>
      <c r="T98" s="24" t="inlineStr">
        <is>
          <t>RBT-RAPPEL FIJO JUNIO 2026</t>
        </is>
      </c>
    </row>
    <row r="99" hidden="1">
      <c r="A99" s="21">
        <f>+A98+1</f>
        <v/>
      </c>
      <c r="B99" s="4" t="inlineStr">
        <is>
          <t>07.07.2026</t>
        </is>
      </c>
      <c r="D99" s="4" t="inlineStr">
        <is>
          <t>01-0FF01-0151848</t>
        </is>
      </c>
      <c r="E99" s="4" t="n">
        <v>2</v>
      </c>
      <c r="F99" s="4" t="inlineStr">
        <is>
          <t>20393864886</t>
        </is>
      </c>
      <c r="G99" s="4" t="inlineStr">
        <is>
          <t>CP02</t>
        </is>
      </c>
      <c r="H99" s="22" t="inlineStr">
        <is>
          <t>C0</t>
        </is>
      </c>
      <c r="L99" t="inlineStr">
        <is>
          <t>RBT-REV VAR LA CALERA 2DO TRIM JUNIO 2026</t>
        </is>
      </c>
      <c r="M99" s="4" t="n">
        <v>2</v>
      </c>
      <c r="N99" s="4" t="n">
        <v>6371100004</v>
      </c>
      <c r="O99" s="5">
        <f>+_xlfn.XLOOKUP(N99,Hoja2!B:B,Hoja2!C:C,,0)</f>
        <v/>
      </c>
      <c r="P99" s="4" t="inlineStr">
        <is>
          <t>1030210004</t>
        </is>
      </c>
      <c r="Q99" t="n">
        <v>1115.17</v>
      </c>
      <c r="R99" s="4" t="inlineStr">
        <is>
          <t>C0</t>
        </is>
      </c>
      <c r="T99" s="24" t="inlineStr">
        <is>
          <t>RBT-REV VAR LA CALERA 2DO TRIM JUNIO 2026</t>
        </is>
      </c>
    </row>
    <row r="100" hidden="1">
      <c r="A100" s="21">
        <f>+A99+1</f>
        <v/>
      </c>
      <c r="B100" s="4" t="inlineStr">
        <is>
          <t>17.07.2026</t>
        </is>
      </c>
      <c r="D100" s="4" t="inlineStr">
        <is>
          <t>01-0FF01-0153525</t>
        </is>
      </c>
      <c r="E100" s="4" t="n">
        <v>2</v>
      </c>
      <c r="F100" s="4" t="inlineStr">
        <is>
          <t>20393864886</t>
        </is>
      </c>
      <c r="G100" s="4" t="inlineStr">
        <is>
          <t>CP02</t>
        </is>
      </c>
      <c r="H100" s="22" t="inlineStr">
        <is>
          <t>C0</t>
        </is>
      </c>
      <c r="L100" t="inlineStr">
        <is>
          <t>RBT-RAPPEL FIJO JUNIO 2026</t>
        </is>
      </c>
      <c r="M100" s="4" t="n">
        <v>2</v>
      </c>
      <c r="N100" s="4" t="n">
        <v>6371100003</v>
      </c>
      <c r="O100" s="5">
        <f>+_xlfn.XLOOKUP(N100,Hoja2!B:B,Hoja2!C:C,,0)</f>
        <v/>
      </c>
      <c r="P100" s="4" t="inlineStr">
        <is>
          <t>1030210004</t>
        </is>
      </c>
      <c r="Q100" t="n">
        <v>1469.62</v>
      </c>
      <c r="R100" s="4" t="inlineStr">
        <is>
          <t>C0</t>
        </is>
      </c>
      <c r="T100" s="24" t="inlineStr">
        <is>
          <t>RBT-RAPPEL FIJO JUNIO 2026</t>
        </is>
      </c>
    </row>
    <row r="101" hidden="1">
      <c r="A101" s="21">
        <f>+A100+1</f>
        <v/>
      </c>
      <c r="B101" s="4" t="inlineStr">
        <is>
          <t>10.08.2026</t>
        </is>
      </c>
      <c r="D101" s="4" t="inlineStr">
        <is>
          <t>01-0FF01-0154086</t>
        </is>
      </c>
      <c r="E101" s="4" t="n">
        <v>2</v>
      </c>
      <c r="F101" s="4" t="inlineStr">
        <is>
          <t>20393864886</t>
        </is>
      </c>
      <c r="G101" s="4" t="inlineStr">
        <is>
          <t>CP02</t>
        </is>
      </c>
      <c r="H101" s="22" t="inlineStr">
        <is>
          <t>C0</t>
        </is>
      </c>
      <c r="L101" t="inlineStr">
        <is>
          <t>RBT-RAPPEL FIJO JUNIO 2026</t>
        </is>
      </c>
      <c r="M101" s="4" t="n">
        <v>2</v>
      </c>
      <c r="N101" s="4" t="n">
        <v>6371100003</v>
      </c>
      <c r="O101" s="5">
        <f>+_xlfn.XLOOKUP(N101,Hoja2!B:B,Hoja2!C:C,,0)</f>
        <v/>
      </c>
      <c r="P101" s="4" t="inlineStr">
        <is>
          <t>1030210004</t>
        </is>
      </c>
      <c r="Q101" t="n">
        <v>2972.85</v>
      </c>
      <c r="R101" s="4" t="inlineStr">
        <is>
          <t>C0</t>
        </is>
      </c>
      <c r="T101" s="24" t="inlineStr">
        <is>
          <t>RBT-RAPPEL FIJO JUNIO 2026</t>
        </is>
      </c>
    </row>
    <row r="102" hidden="1">
      <c r="A102" s="21">
        <f>+A101+1</f>
        <v/>
      </c>
      <c r="B102" s="4" t="inlineStr">
        <is>
          <t>13.08.2026</t>
        </is>
      </c>
      <c r="D102" s="4" t="inlineStr">
        <is>
          <t>01-0F191-0068086</t>
        </is>
      </c>
      <c r="E102" s="4" t="n">
        <v>2</v>
      </c>
      <c r="F102" s="4" t="inlineStr">
        <is>
          <t>20100070970</t>
        </is>
      </c>
      <c r="G102" s="4" t="inlineStr">
        <is>
          <t>CP02</t>
        </is>
      </c>
      <c r="H102" s="22" t="inlineStr">
        <is>
          <t>C0</t>
        </is>
      </c>
      <c r="L102" s="31" t="inlineStr">
        <is>
          <t>RBT-VALES DE COMPRA S/GUIA DE ENTREGA: G. DE ADMINISTRACIÓN-S/GUIA ENTREGA: 66675 JULIO 2026</t>
        </is>
      </c>
      <c r="M102" s="4" t="n">
        <v>2</v>
      </c>
      <c r="O102" s="5" t="n"/>
      <c r="P102" s="4" t="inlineStr">
        <is>
          <t>1030210001</t>
        </is>
      </c>
      <c r="Q102" t="n">
        <v>3800</v>
      </c>
      <c r="R102" s="4" t="inlineStr">
        <is>
          <t>C0</t>
        </is>
      </c>
      <c r="T102" s="24" t="inlineStr">
        <is>
          <t>RBT-VALES DE COMPRA S/GUIA DE ENTREGA: G. DE ADMINISTRACIÓN-S/GUIA ENTREGA: 66675 JULIO 2026</t>
        </is>
      </c>
    </row>
  </sheetData>
  <autoFilter ref="A1:T102">
    <filterColumn colId="14" hiddenButton="0" showButton="1">
      <colorFilter dxfId="2"/>
    </filterColumn>
  </autoFilter>
  <conditionalFormatting sqref="D2:D24">
    <cfRule type="duplicateValues" priority="2" dxfId="0"/>
  </conditionalFormatting>
  <conditionalFormatting sqref="D25:D102">
    <cfRule type="duplicateValues" priority="1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B5" sqref="B5:C5"/>
    </sheetView>
  </sheetViews>
  <sheetFormatPr baseColWidth="10" defaultRowHeight="14.4"/>
  <cols>
    <col width="17" bestFit="1" customWidth="1" min="2" max="2"/>
    <col width="51.77734375" bestFit="1" customWidth="1" min="3" max="3"/>
    <col width="30.21875" bestFit="1" customWidth="1" min="4" max="4"/>
  </cols>
  <sheetData>
    <row r="4">
      <c r="B4" s="12" t="inlineStr">
        <is>
          <t>CUENTA CONTABLE</t>
        </is>
      </c>
      <c r="C4" s="13" t="inlineStr">
        <is>
          <t>TEXTO EXPLICATIVO</t>
        </is>
      </c>
      <c r="D4" s="14" t="inlineStr">
        <is>
          <t>COMERCIAL</t>
        </is>
      </c>
    </row>
    <row r="5">
      <c r="B5" s="15" t="n">
        <v>6371100003</v>
      </c>
      <c r="C5" s="16" t="inlineStr">
        <is>
          <t>GASTOS DE PROMOCION Y PUBLICIDAD-REBATE FIJO (FIJO)</t>
        </is>
      </c>
      <c r="D5" s="17" t="inlineStr">
        <is>
          <t>REBATE FIJO</t>
        </is>
      </c>
    </row>
    <row r="6">
      <c r="B6" s="15" t="n">
        <v>6371100004</v>
      </c>
      <c r="C6" s="16" t="inlineStr">
        <is>
          <t>GASTOS DE PROMOCION Y PUBLICIDAD-REBATE(VARIABLE)</t>
        </is>
      </c>
      <c r="D6" s="17" t="inlineStr">
        <is>
          <t>REBATE VARIABLE</t>
        </is>
      </c>
    </row>
    <row r="7">
      <c r="B7" s="15" t="n">
        <v>6371100002</v>
      </c>
      <c r="C7" s="16" t="inlineStr">
        <is>
          <t>GASTOS DE PROMOCION Y PUBLICIDAD EN SUPERMERCADOS</t>
        </is>
      </c>
      <c r="D7" s="17" t="inlineStr">
        <is>
          <t>PROMOCIONES SELL OUT</t>
        </is>
      </c>
    </row>
    <row r="8">
      <c r="B8" s="15" t="n">
        <v>6371100022</v>
      </c>
      <c r="C8" s="16" t="inlineStr">
        <is>
          <t>GASTOS DE FONDOS PROMOCIONALE EN SUPERMERCADOS</t>
        </is>
      </c>
      <c r="D8" s="17" t="inlineStr">
        <is>
          <t>FONDO PROMOCIONAL</t>
        </is>
      </c>
    </row>
    <row r="9">
      <c r="B9" s="15" t="n">
        <v>6371100006</v>
      </c>
      <c r="C9" s="18" t="inlineStr">
        <is>
          <t>SERV B2B COMERCIAL</t>
        </is>
      </c>
      <c r="D9" s="17" t="inlineStr">
        <is>
          <t>SERVICIO B2B COMERCIAL</t>
        </is>
      </c>
    </row>
    <row r="10">
      <c r="B10" s="15" t="n">
        <v>6371100005</v>
      </c>
      <c r="C10" s="16" t="inlineStr">
        <is>
          <t>GASTOS POR DEVOLUCIÓN DE MERCADERÍA</t>
        </is>
      </c>
      <c r="D10" s="17" t="inlineStr">
        <is>
          <t>RECONOCIMIENTO DE STOCK</t>
        </is>
      </c>
    </row>
    <row r="11">
      <c r="B11" s="15" t="n">
        <v>6371100007</v>
      </c>
      <c r="C11" s="18" t="inlineStr">
        <is>
          <t>SERV DE CALIDAD</t>
        </is>
      </c>
      <c r="D11" s="17" t="inlineStr">
        <is>
          <t>SERVICIOS DE CALIDAD</t>
        </is>
      </c>
    </row>
    <row r="12">
      <c r="B12" s="15" t="n">
        <v>6371100008</v>
      </c>
      <c r="C12" s="18" t="inlineStr">
        <is>
          <t>PENALIDAD DE SERVICIO</t>
        </is>
      </c>
      <c r="D12" s="17" t="inlineStr">
        <is>
          <t>PENALIDAD POR NIVEL DE SERVICIO</t>
        </is>
      </c>
    </row>
    <row r="13">
      <c r="B13" s="15" t="n">
        <v>6371100009</v>
      </c>
      <c r="C13" s="18" t="inlineStr">
        <is>
          <t>PAGO APERTURA DE TIENDA</t>
        </is>
      </c>
      <c r="D13" s="17" t="inlineStr">
        <is>
          <t>PAGO APERTURA DE TIENDA</t>
        </is>
      </c>
    </row>
    <row r="14">
      <c r="B14" s="15" t="n">
        <v>6592100001</v>
      </c>
      <c r="C14" s="18" t="inlineStr">
        <is>
          <t>SANCIONES ADMINISTRATIVAS</t>
        </is>
      </c>
      <c r="D14" s="17" t="inlineStr">
        <is>
          <t>DIFERENCIA DE PESOS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tabColor rgb="FF00B0F0"/>
    <outlinePr summaryBelow="1" summaryRight="1"/>
    <pageSetUpPr/>
  </sheetPr>
  <dimension ref="A1:T102"/>
  <sheetViews>
    <sheetView workbookViewId="0">
      <selection activeCell="A1" sqref="A1"/>
    </sheetView>
  </sheetViews>
  <sheetFormatPr baseColWidth="10" defaultColWidth="11.44140625" defaultRowHeight="14.4"/>
  <cols>
    <col width="6.109375" customWidth="1" style="5" min="1" max="1"/>
    <col width="14.6640625" customWidth="1" style="4" min="2" max="2"/>
    <col width="19.33203125" bestFit="1" customWidth="1" style="5" min="3" max="3"/>
    <col width="18.5546875" bestFit="1" customWidth="1" style="4" min="4" max="4"/>
    <col width="5.33203125" customWidth="1" style="5" min="5" max="5"/>
    <col width="18" customWidth="1" style="5" min="6" max="6"/>
    <col width="7.33203125" customWidth="1" style="5" min="7" max="7"/>
    <col width="6.6640625" customWidth="1" style="4" min="8" max="8"/>
    <col width="5.5546875" customWidth="1" style="5" min="9" max="9"/>
    <col width="6.44140625" customWidth="1" style="5" min="10" max="10"/>
    <col width="5.109375" customWidth="1" style="5" min="11" max="11"/>
    <col width="139.6640625" customWidth="1" style="5" min="12" max="12"/>
    <col width="6.33203125" customWidth="1" style="5" min="13" max="13"/>
    <col width="15" customWidth="1" style="4" min="14" max="14"/>
    <col width="51.77734375" bestFit="1" customWidth="1" style="4" min="15" max="15"/>
    <col width="12.109375" customWidth="1" style="5" min="16" max="16"/>
    <col width="10" customWidth="1" style="5" min="17" max="17"/>
    <col width="6.44140625" customWidth="1" style="5" min="18" max="18"/>
    <col width="16.88671875" bestFit="1" customWidth="1" style="5" min="19" max="19"/>
    <col width="60.44140625" customWidth="1" style="5" min="20" max="20"/>
  </cols>
  <sheetData>
    <row r="1" ht="24" customFormat="1" customHeight="1" s="4">
      <c r="A1" s="1" t="inlineStr">
        <is>
          <t>ID CABC(1)</t>
        </is>
      </c>
      <c r="B1" s="6" t="inlineStr">
        <is>
          <t>Fecha Doc</t>
        </is>
      </c>
      <c r="C1" s="1" t="inlineStr">
        <is>
          <t>Texto Cab Doc</t>
        </is>
      </c>
      <c r="D1" s="6" t="inlineStr">
        <is>
          <t>REFERENCIA</t>
        </is>
      </c>
      <c r="E1" s="8" t="inlineStr">
        <is>
          <t>ID POSC(2)Acreedor</t>
        </is>
      </c>
      <c r="F1" s="7" t="inlineStr">
        <is>
          <t>RUC</t>
        </is>
      </c>
      <c r="G1" s="7" t="inlineStr">
        <is>
          <t>Cond Pago</t>
        </is>
      </c>
      <c r="H1" s="7" t="inlineStr">
        <is>
          <t>Ind Impto</t>
        </is>
      </c>
      <c r="I1" s="2" t="inlineStr">
        <is>
          <t>Tipo Detr</t>
        </is>
      </c>
      <c r="J1" s="2" t="inlineStr">
        <is>
          <t>Ind Detra</t>
        </is>
      </c>
      <c r="K1" s="2" t="inlineStr">
        <is>
          <t>Asignación</t>
        </is>
      </c>
      <c r="L1" s="2" t="inlineStr">
        <is>
          <t>Texto Posición</t>
        </is>
      </c>
      <c r="M1" s="9" t="inlineStr">
        <is>
          <t>ID POSC(2) Cuenta GASTO</t>
        </is>
      </c>
      <c r="N1" s="3" t="inlineStr">
        <is>
          <t>Cuenta Gasto</t>
        </is>
      </c>
      <c r="O1" s="19" t="inlineStr">
        <is>
          <t>DETALLE</t>
        </is>
      </c>
      <c r="P1" s="10" t="inlineStr">
        <is>
          <t>Centro Costo</t>
        </is>
      </c>
      <c r="Q1" s="11" t="inlineStr">
        <is>
          <t>Importe MD</t>
        </is>
      </c>
      <c r="R1" s="10" t="inlineStr">
        <is>
          <t>Ind Impto</t>
        </is>
      </c>
      <c r="S1" s="9" t="inlineStr">
        <is>
          <t>Asignación</t>
        </is>
      </c>
      <c r="T1" s="9" t="inlineStr">
        <is>
          <t>Texto Posición</t>
        </is>
      </c>
    </row>
    <row r="2" customFormat="1" s="24">
      <c r="A2" s="36" t="n">
        <v>1</v>
      </c>
      <c r="B2" s="37" t="inlineStr">
        <is>
          <t>26.08.2026</t>
        </is>
      </c>
      <c r="C2" s="36" t="n"/>
      <c r="D2" s="37" t="inlineStr">
        <is>
          <t>02-0E001-0000160</t>
        </is>
      </c>
      <c r="E2" s="38" t="n">
        <v>2</v>
      </c>
      <c r="F2" s="37" t="inlineStr">
        <is>
          <t>10295529232</t>
        </is>
      </c>
      <c r="G2" s="37" t="inlineStr">
        <is>
          <t>CP02</t>
        </is>
      </c>
      <c r="H2" s="37" t="inlineStr">
        <is>
          <t>C0</t>
        </is>
      </c>
      <c r="I2" s="36" t="n"/>
      <c r="J2" s="36" t="n"/>
      <c r="K2" s="36" t="n"/>
      <c r="L2" s="39" t="inlineStr">
        <is>
          <t>SERVICIO DE LIMPIEZA SEMANA 34</t>
        </is>
      </c>
      <c r="M2" s="38" t="n">
        <v>2</v>
      </c>
      <c r="N2" s="40" t="n"/>
      <c r="O2" s="41" t="n"/>
      <c r="P2" s="37" t="n"/>
      <c r="Q2" s="42" t="n">
        <v>195</v>
      </c>
      <c r="R2" s="37" t="inlineStr">
        <is>
          <t>C0</t>
        </is>
      </c>
      <c r="S2" s="43" t="n"/>
      <c r="T2" s="36" t="inlineStr">
        <is>
          <t>430060343</t>
        </is>
      </c>
    </row>
    <row r="3" hidden="1" customFormat="1" s="24">
      <c r="A3" s="36" t="n">
        <v>2</v>
      </c>
      <c r="B3" s="37" t="inlineStr">
        <is>
          <t>26.08.2026</t>
        </is>
      </c>
      <c r="C3" s="36" t="n"/>
      <c r="D3" s="37" t="inlineStr">
        <is>
          <t>02-0E001-0000137</t>
        </is>
      </c>
      <c r="E3" s="38" t="n">
        <v>2</v>
      </c>
      <c r="F3" s="37" t="inlineStr">
        <is>
          <t>10422206855</t>
        </is>
      </c>
      <c r="G3" s="37" t="inlineStr">
        <is>
          <t>CP02</t>
        </is>
      </c>
      <c r="H3" s="37" t="inlineStr">
        <is>
          <t>C0</t>
        </is>
      </c>
      <c r="I3" s="36" t="n"/>
      <c r="J3" s="36" t="n"/>
      <c r="K3" s="36" t="n"/>
      <c r="L3" s="39" t="inlineStr">
        <is>
          <t>SERVICIO DE SANEO SEMANA 34</t>
        </is>
      </c>
      <c r="M3" s="38" t="n">
        <v>2</v>
      </c>
      <c r="N3" s="40" t="n"/>
      <c r="O3" s="41" t="n"/>
      <c r="P3" s="37" t="n"/>
      <c r="Q3" s="42" t="n">
        <v>420</v>
      </c>
      <c r="R3" s="37" t="inlineStr">
        <is>
          <t>C0</t>
        </is>
      </c>
      <c r="S3" s="43" t="n"/>
      <c r="T3" s="36" t="inlineStr">
        <is>
          <t>430060344</t>
        </is>
      </c>
    </row>
    <row r="4" hidden="1" customFormat="1" s="24">
      <c r="A4" s="36" t="n">
        <v>3</v>
      </c>
      <c r="B4" s="37" t="inlineStr">
        <is>
          <t>26.08.2026</t>
        </is>
      </c>
      <c r="C4" s="36" t="n"/>
      <c r="D4" s="37" t="inlineStr">
        <is>
          <t>02-0E001-0000139</t>
        </is>
      </c>
      <c r="E4" s="38" t="n">
        <v>2</v>
      </c>
      <c r="F4" s="37" t="inlineStr">
        <is>
          <t>10422206855</t>
        </is>
      </c>
      <c r="G4" s="37" t="inlineStr">
        <is>
          <t>CP02</t>
        </is>
      </c>
      <c r="H4" s="37" t="inlineStr">
        <is>
          <t>C0</t>
        </is>
      </c>
      <c r="I4" s="36" t="n"/>
      <c r="J4" s="36" t="n"/>
      <c r="K4" s="36" t="n"/>
      <c r="L4" s="39" t="inlineStr">
        <is>
          <t>SERVICIO DE SANEO SEMANA 34</t>
        </is>
      </c>
      <c r="M4" s="38" t="n">
        <v>2</v>
      </c>
      <c r="N4" s="40" t="n"/>
      <c r="O4" s="41" t="n"/>
      <c r="P4" s="37" t="n"/>
      <c r="Q4" s="42" t="n">
        <v>60</v>
      </c>
      <c r="R4" s="37" t="inlineStr">
        <is>
          <t>C0</t>
        </is>
      </c>
      <c r="S4" s="43" t="n"/>
      <c r="T4" s="36" t="inlineStr">
        <is>
          <t>430060345</t>
        </is>
      </c>
    </row>
    <row r="5" hidden="1" customFormat="1" s="24">
      <c r="A5" s="36" t="n">
        <v>4</v>
      </c>
      <c r="B5" s="37" t="inlineStr">
        <is>
          <t>26.08.2026</t>
        </is>
      </c>
      <c r="C5" s="36" t="n"/>
      <c r="D5" s="37" t="inlineStr">
        <is>
          <t>02-0E001-0000080</t>
        </is>
      </c>
      <c r="E5" s="38" t="n">
        <v>2</v>
      </c>
      <c r="F5" s="37" t="inlineStr">
        <is>
          <t>10433475882</t>
        </is>
      </c>
      <c r="G5" s="37" t="inlineStr">
        <is>
          <t>CP02</t>
        </is>
      </c>
      <c r="H5" s="37" t="inlineStr">
        <is>
          <t>C0</t>
        </is>
      </c>
      <c r="I5" s="36" t="n"/>
      <c r="J5" s="36" t="n"/>
      <c r="K5" s="36" t="n"/>
      <c r="L5" s="39" t="inlineStr">
        <is>
          <t>SERVICIO DE SANEO SEMANA 34</t>
        </is>
      </c>
      <c r="M5" s="38" t="n">
        <v>2</v>
      </c>
      <c r="N5" s="40" t="n"/>
      <c r="O5" s="41" t="n"/>
      <c r="P5" s="37" t="n"/>
      <c r="Q5" s="42" t="n">
        <v>240</v>
      </c>
      <c r="R5" s="37" t="inlineStr">
        <is>
          <t>C0</t>
        </is>
      </c>
      <c r="S5" s="43" t="n"/>
      <c r="T5" s="36" t="inlineStr">
        <is>
          <t>430060346</t>
        </is>
      </c>
    </row>
    <row r="6" hidden="1" customFormat="1" s="24">
      <c r="A6" s="36" t="n">
        <v>5</v>
      </c>
      <c r="B6" s="37" t="inlineStr">
        <is>
          <t>26.08.2026</t>
        </is>
      </c>
      <c r="C6" s="36" t="n"/>
      <c r="D6" s="37" t="inlineStr">
        <is>
          <t>02-0E001-0000081</t>
        </is>
      </c>
      <c r="E6" s="38" t="n">
        <v>2</v>
      </c>
      <c r="F6" s="37" t="inlineStr">
        <is>
          <t>10433475882</t>
        </is>
      </c>
      <c r="G6" s="37" t="inlineStr">
        <is>
          <t>CP02</t>
        </is>
      </c>
      <c r="H6" s="37" t="inlineStr">
        <is>
          <t>C0</t>
        </is>
      </c>
      <c r="I6" s="36" t="n"/>
      <c r="J6" s="36" t="n"/>
      <c r="K6" s="36" t="n"/>
      <c r="L6" s="39" t="inlineStr">
        <is>
          <t>SERVICIO DE SANEO SEMANA 34</t>
        </is>
      </c>
      <c r="M6" s="38" t="n">
        <v>2</v>
      </c>
      <c r="N6" s="40" t="n"/>
      <c r="O6" s="41" t="n"/>
      <c r="P6" s="37" t="n"/>
      <c r="Q6" s="42" t="n">
        <v>300</v>
      </c>
      <c r="R6" s="37" t="inlineStr">
        <is>
          <t>C0</t>
        </is>
      </c>
      <c r="S6" s="43" t="n"/>
      <c r="T6" s="36" t="inlineStr">
        <is>
          <t>430060347</t>
        </is>
      </c>
    </row>
    <row r="7" customFormat="1" s="24">
      <c r="A7" s="36" t="n">
        <v>6</v>
      </c>
      <c r="B7" s="37" t="inlineStr">
        <is>
          <t>26.08.2026</t>
        </is>
      </c>
      <c r="C7" s="36" t="n"/>
      <c r="D7" s="37" t="inlineStr">
        <is>
          <t>02-0E001-0000024</t>
        </is>
      </c>
      <c r="E7" s="38" t="n">
        <v>2</v>
      </c>
      <c r="F7" s="37" t="inlineStr">
        <is>
          <t>10455371053</t>
        </is>
      </c>
      <c r="G7" s="37" t="inlineStr">
        <is>
          <t>CP02</t>
        </is>
      </c>
      <c r="H7" s="37" t="inlineStr">
        <is>
          <t>C0</t>
        </is>
      </c>
      <c r="I7" s="36" t="n"/>
      <c r="J7" s="36" t="n"/>
      <c r="K7" s="36" t="n"/>
      <c r="L7" s="39" t="inlineStr">
        <is>
          <t>SERVICIO DE SANEO SEMANA 34</t>
        </is>
      </c>
      <c r="M7" s="38" t="n">
        <v>2</v>
      </c>
      <c r="N7" s="40" t="n"/>
      <c r="O7" s="41" t="n"/>
      <c r="P7" s="37" t="n"/>
      <c r="Q7" s="42" t="n">
        <v>300</v>
      </c>
      <c r="R7" s="37" t="inlineStr">
        <is>
          <t>C0</t>
        </is>
      </c>
      <c r="S7" s="43" t="n"/>
      <c r="T7" s="36" t="inlineStr">
        <is>
          <t>430060348</t>
        </is>
      </c>
    </row>
    <row r="8" hidden="1" customFormat="1" s="24">
      <c r="A8" s="36" t="n">
        <v>7</v>
      </c>
      <c r="B8" s="37" t="inlineStr">
        <is>
          <t>26.08.2026</t>
        </is>
      </c>
      <c r="C8" s="36" t="n"/>
      <c r="D8" s="37" t="inlineStr">
        <is>
          <t>02-0E001-0000050</t>
        </is>
      </c>
      <c r="E8" s="38" t="n">
        <v>2</v>
      </c>
      <c r="F8" s="37" t="inlineStr">
        <is>
          <t>10721634081</t>
        </is>
      </c>
      <c r="G8" s="37" t="inlineStr">
        <is>
          <t>CP02</t>
        </is>
      </c>
      <c r="H8" s="37" t="inlineStr">
        <is>
          <t>C0</t>
        </is>
      </c>
      <c r="I8" s="36" t="n"/>
      <c r="J8" s="36" t="n"/>
      <c r="K8" s="36" t="n"/>
      <c r="L8" s="39" t="inlineStr">
        <is>
          <t>SERVICIO DE ESTIBA SEMANA 34</t>
        </is>
      </c>
      <c r="M8" s="38" t="n">
        <v>2</v>
      </c>
      <c r="N8" s="40" t="n"/>
      <c r="O8" s="41" t="n"/>
      <c r="P8" s="37" t="n"/>
      <c r="Q8" s="42" t="n">
        <v>120</v>
      </c>
      <c r="R8" s="37" t="inlineStr">
        <is>
          <t>C0</t>
        </is>
      </c>
      <c r="S8" s="43" t="n"/>
      <c r="T8" s="36" t="inlineStr">
        <is>
          <t>430060349</t>
        </is>
      </c>
    </row>
    <row r="9" hidden="1" customFormat="1" s="24">
      <c r="A9" s="36" t="n">
        <v>8</v>
      </c>
      <c r="B9" s="37" t="inlineStr">
        <is>
          <t>26.08.2026</t>
        </is>
      </c>
      <c r="C9" s="36" t="n"/>
      <c r="D9" s="37" t="inlineStr">
        <is>
          <t>02-0E001-0000051</t>
        </is>
      </c>
      <c r="E9" s="38" t="n">
        <v>2</v>
      </c>
      <c r="F9" s="37" t="inlineStr">
        <is>
          <t>10721634081</t>
        </is>
      </c>
      <c r="G9" s="37" t="inlineStr">
        <is>
          <t>CP02</t>
        </is>
      </c>
      <c r="H9" s="37" t="inlineStr">
        <is>
          <t>C0</t>
        </is>
      </c>
      <c r="I9" s="36" t="n"/>
      <c r="J9" s="36" t="n"/>
      <c r="K9" s="36" t="n"/>
      <c r="L9" s="39" t="inlineStr">
        <is>
          <t>SERVICIO DE ESTIBA SEMANA 34</t>
        </is>
      </c>
      <c r="M9" s="38" t="n">
        <v>2</v>
      </c>
      <c r="N9" s="40" t="n"/>
      <c r="O9" s="41" t="n"/>
      <c r="P9" s="37" t="n"/>
      <c r="Q9" s="42" t="n">
        <v>300</v>
      </c>
      <c r="R9" s="37" t="inlineStr">
        <is>
          <t>C0</t>
        </is>
      </c>
      <c r="S9" s="43" t="n"/>
      <c r="T9" s="36" t="inlineStr">
        <is>
          <t>430060350</t>
        </is>
      </c>
    </row>
    <row r="10" customFormat="1" s="24">
      <c r="A10" s="36" t="n">
        <v>9</v>
      </c>
      <c r="B10" s="37" t="inlineStr">
        <is>
          <t>26.08.2026</t>
        </is>
      </c>
      <c r="C10" s="36" t="n"/>
      <c r="D10" s="37" t="inlineStr">
        <is>
          <t>02-0E001-0000052</t>
        </is>
      </c>
      <c r="E10" s="38" t="n">
        <v>2</v>
      </c>
      <c r="F10" s="37" t="inlineStr">
        <is>
          <t>10721634081</t>
        </is>
      </c>
      <c r="G10" s="37" t="inlineStr">
        <is>
          <t>CP02</t>
        </is>
      </c>
      <c r="H10" s="37" t="inlineStr">
        <is>
          <t>C0</t>
        </is>
      </c>
      <c r="I10" s="36" t="n"/>
      <c r="J10" s="36" t="n"/>
      <c r="K10" s="36" t="n"/>
      <c r="L10" s="39" t="inlineStr">
        <is>
          <t>SERVICIO DE ESTIBA SEMANA 34</t>
        </is>
      </c>
      <c r="M10" s="38" t="n">
        <v>2</v>
      </c>
      <c r="N10" s="40" t="n"/>
      <c r="O10" s="41" t="n"/>
      <c r="P10" s="37" t="n"/>
      <c r="Q10" s="42" t="n">
        <v>160</v>
      </c>
      <c r="R10" s="37" t="inlineStr">
        <is>
          <t>C0</t>
        </is>
      </c>
      <c r="S10" s="43" t="n"/>
      <c r="T10" s="36" t="inlineStr">
        <is>
          <t>430060351</t>
        </is>
      </c>
    </row>
    <row r="11" hidden="1" customFormat="1" s="24">
      <c r="A11" s="36" t="n">
        <v>10</v>
      </c>
      <c r="B11" s="37" t="inlineStr">
        <is>
          <t>26.08.2026</t>
        </is>
      </c>
      <c r="C11" s="36" t="n"/>
      <c r="D11" s="37" t="inlineStr">
        <is>
          <t>02-0E001-0000119</t>
        </is>
      </c>
      <c r="E11" s="38" t="n">
        <v>2</v>
      </c>
      <c r="F11" s="37" t="inlineStr">
        <is>
          <t>10296553153</t>
        </is>
      </c>
      <c r="G11" s="37" t="inlineStr">
        <is>
          <t>CP02</t>
        </is>
      </c>
      <c r="H11" s="37" t="inlineStr">
        <is>
          <t>C0</t>
        </is>
      </c>
      <c r="I11" s="36" t="n"/>
      <c r="J11" s="36" t="n"/>
      <c r="K11" s="36" t="n"/>
      <c r="L11" s="39" t="inlineStr">
        <is>
          <t>SERVICIO DE ESTIBA SEMANA 34</t>
        </is>
      </c>
      <c r="M11" s="38" t="n">
        <v>2</v>
      </c>
      <c r="N11" s="40" t="n"/>
      <c r="O11" s="41" t="n"/>
      <c r="P11" s="37" t="n"/>
      <c r="Q11" s="42" t="n">
        <v>60</v>
      </c>
      <c r="R11" s="37" t="inlineStr">
        <is>
          <t>C0</t>
        </is>
      </c>
      <c r="S11" s="43" t="n"/>
      <c r="T11" s="36" t="inlineStr">
        <is>
          <t>430060352</t>
        </is>
      </c>
    </row>
    <row r="12" hidden="1" customFormat="1" s="24">
      <c r="A12" s="21" t="n"/>
      <c r="B12" s="4" t="n"/>
      <c r="C12" s="21" t="n"/>
      <c r="D12" s="4" t="n"/>
      <c r="E12" s="22" t="n"/>
      <c r="F12" s="4" t="n"/>
      <c r="G12" s="4" t="n"/>
      <c r="H12" s="4" t="n"/>
      <c r="I12" s="21" t="n"/>
      <c r="J12" s="21" t="n"/>
      <c r="K12" s="21" t="n"/>
      <c r="M12" s="22" t="n"/>
      <c r="N12" s="4" t="n"/>
      <c r="O12" s="5" t="n"/>
      <c r="P12" s="4" t="n"/>
      <c r="R12" s="4" t="n"/>
      <c r="S12" s="23" t="n"/>
      <c r="T12" s="21" t="n"/>
    </row>
    <row r="13" hidden="1" customFormat="1" s="24">
      <c r="A13" s="21" t="n"/>
      <c r="B13" s="4" t="n"/>
      <c r="C13" s="21" t="n"/>
      <c r="D13" s="4" t="n"/>
      <c r="E13" s="22" t="n"/>
      <c r="F13" s="4" t="n"/>
      <c r="G13" s="4" t="n"/>
      <c r="H13" s="4" t="n"/>
      <c r="I13" s="21" t="n"/>
      <c r="J13" s="21" t="n"/>
      <c r="K13" s="21" t="n"/>
      <c r="M13" s="22" t="n"/>
      <c r="N13" s="4" t="n"/>
      <c r="O13" s="5" t="n"/>
      <c r="P13" s="4" t="n"/>
      <c r="R13" s="4" t="n"/>
      <c r="S13" s="23" t="n"/>
      <c r="T13" s="21" t="n"/>
    </row>
    <row r="14" hidden="1" customFormat="1" s="24">
      <c r="A14" s="21" t="n"/>
      <c r="B14" s="4" t="n"/>
      <c r="C14" s="21" t="n"/>
      <c r="D14" s="4" t="n"/>
      <c r="E14" s="22" t="n"/>
      <c r="F14" s="4" t="n"/>
      <c r="G14" s="4" t="n"/>
      <c r="H14" s="4" t="n"/>
      <c r="I14" s="21" t="n"/>
      <c r="J14" s="21" t="n"/>
      <c r="K14" s="21" t="n"/>
      <c r="M14" s="22" t="n"/>
      <c r="N14" s="4" t="n"/>
      <c r="O14" s="5" t="n"/>
      <c r="P14" s="4" t="n"/>
      <c r="R14" s="4" t="n"/>
      <c r="S14" s="23" t="n"/>
      <c r="T14" s="21" t="n"/>
    </row>
    <row r="15" hidden="1" customFormat="1" s="24">
      <c r="A15" s="21" t="n"/>
      <c r="B15" s="4" t="n"/>
      <c r="C15" s="21" t="n"/>
      <c r="D15" s="4" t="n"/>
      <c r="E15" s="22" t="n"/>
      <c r="F15" s="4" t="n"/>
      <c r="G15" s="4" t="n"/>
      <c r="H15" s="4" t="n"/>
      <c r="I15" s="21" t="n"/>
      <c r="J15" s="21" t="n"/>
      <c r="K15" s="21" t="n"/>
      <c r="M15" s="22" t="n"/>
      <c r="N15" s="4" t="n"/>
      <c r="O15" s="5" t="n"/>
      <c r="P15" s="4" t="n"/>
      <c r="R15" s="4" t="n"/>
      <c r="S15" s="23" t="n"/>
      <c r="T15" s="21" t="n"/>
    </row>
    <row r="16" hidden="1" customFormat="1" s="24">
      <c r="A16" s="21" t="n"/>
      <c r="B16" s="4" t="n"/>
      <c r="C16" s="21" t="n"/>
      <c r="D16" s="4" t="n"/>
      <c r="E16" s="22" t="n"/>
      <c r="F16" s="4" t="n"/>
      <c r="G16" s="4" t="n"/>
      <c r="H16" s="4" t="n"/>
      <c r="I16" s="21" t="n"/>
      <c r="J16" s="21" t="n"/>
      <c r="K16" s="21" t="n"/>
      <c r="M16" s="22" t="n"/>
      <c r="N16" s="4" t="n"/>
      <c r="O16" s="5" t="n"/>
      <c r="P16" s="4" t="n"/>
      <c r="R16" s="4" t="n"/>
      <c r="S16" s="23" t="n"/>
      <c r="T16" s="21" t="n"/>
    </row>
    <row r="17" hidden="1" customFormat="1" s="24">
      <c r="A17" s="21" t="n"/>
      <c r="B17" s="4" t="n"/>
      <c r="C17" s="21" t="n"/>
      <c r="D17" s="4" t="n"/>
      <c r="E17" s="22" t="n"/>
      <c r="F17" s="4" t="n"/>
      <c r="G17" s="4" t="n"/>
      <c r="H17" s="4" t="n"/>
      <c r="I17" s="21" t="n"/>
      <c r="J17" s="21" t="n"/>
      <c r="K17" s="21" t="n"/>
      <c r="M17" s="22" t="n"/>
      <c r="N17" s="4" t="n"/>
      <c r="O17" s="5" t="n"/>
      <c r="P17" s="4" t="n"/>
      <c r="R17" s="4" t="n"/>
      <c r="S17" s="23" t="n"/>
      <c r="T17" s="21" t="n"/>
    </row>
    <row r="18" hidden="1" customFormat="1" s="24">
      <c r="A18" s="21" t="n"/>
      <c r="B18" s="4" t="n"/>
      <c r="C18" s="21" t="n"/>
      <c r="D18" s="4" t="n"/>
      <c r="E18" s="22" t="n"/>
      <c r="F18" s="4" t="n"/>
      <c r="G18" s="4" t="n"/>
      <c r="H18" s="4" t="n"/>
      <c r="I18" s="21" t="n"/>
      <c r="J18" s="21" t="n"/>
      <c r="K18" s="21" t="n"/>
      <c r="M18" s="22" t="n"/>
      <c r="N18" s="4" t="n"/>
      <c r="O18" s="5" t="n"/>
      <c r="P18" s="4" t="n"/>
      <c r="R18" s="4" t="n"/>
      <c r="S18" s="23" t="n"/>
      <c r="T18" s="21" t="n"/>
    </row>
    <row r="19" hidden="1" customFormat="1" s="24">
      <c r="A19" s="21" t="n"/>
      <c r="B19" s="4" t="n"/>
      <c r="C19" s="21" t="n"/>
      <c r="D19" s="4" t="n"/>
      <c r="E19" s="22" t="n"/>
      <c r="F19" s="4" t="n"/>
      <c r="G19" s="4" t="n"/>
      <c r="H19" s="4" t="n"/>
      <c r="I19" s="21" t="n"/>
      <c r="J19" s="21" t="n"/>
      <c r="K19" s="21" t="n"/>
      <c r="M19" s="22" t="n"/>
      <c r="N19" s="4" t="n"/>
      <c r="O19" s="5" t="n"/>
      <c r="P19" s="4" t="n"/>
      <c r="R19" s="4" t="n"/>
      <c r="S19" s="23" t="n"/>
      <c r="T19" s="21" t="n"/>
    </row>
    <row r="20" hidden="1" customFormat="1" s="24">
      <c r="A20" s="21" t="n"/>
      <c r="B20" s="4" t="n"/>
      <c r="C20" s="21" t="n"/>
      <c r="D20" s="4" t="n"/>
      <c r="E20" s="22" t="n"/>
      <c r="F20" s="4" t="n"/>
      <c r="G20" s="4" t="n"/>
      <c r="H20" s="4" t="n"/>
      <c r="I20" s="21" t="n"/>
      <c r="J20" s="21" t="n"/>
      <c r="K20" s="21" t="n"/>
      <c r="M20" s="22" t="n"/>
      <c r="N20" s="4" t="n"/>
      <c r="O20" s="5" t="n"/>
      <c r="P20" s="4" t="n"/>
      <c r="R20" s="4" t="n"/>
      <c r="S20" s="23" t="n"/>
      <c r="T20" s="21" t="n"/>
    </row>
    <row r="21" hidden="1" customFormat="1" s="24">
      <c r="A21" s="21" t="n"/>
      <c r="B21" s="4" t="n"/>
      <c r="C21" s="21" t="n"/>
      <c r="D21" s="4" t="n"/>
      <c r="E21" s="22" t="n"/>
      <c r="F21" s="4" t="n"/>
      <c r="G21" s="4" t="n"/>
      <c r="H21" s="4" t="n"/>
      <c r="I21" s="21" t="n"/>
      <c r="J21" s="21" t="n"/>
      <c r="K21" s="21" t="n"/>
      <c r="M21" s="22" t="n"/>
      <c r="N21" s="4" t="n"/>
      <c r="O21" s="5" t="n"/>
      <c r="P21" s="4" t="n"/>
      <c r="R21" s="4" t="n"/>
      <c r="S21" s="23" t="n"/>
      <c r="T21" s="21" t="n"/>
    </row>
    <row r="22" hidden="1">
      <c r="A22" s="21" t="n"/>
      <c r="B22" s="4" t="n"/>
      <c r="D22" s="4" t="n"/>
      <c r="E22" s="4" t="n"/>
      <c r="F22" s="4" t="n"/>
      <c r="G22" s="4" t="n"/>
      <c r="H22" s="4" t="n"/>
      <c r="M22" s="4" t="n"/>
      <c r="N22" s="4" t="n"/>
      <c r="O22" s="5" t="n"/>
      <c r="P22" s="4" t="n"/>
      <c r="R22" s="4" t="n"/>
      <c r="T22" s="21" t="n"/>
    </row>
    <row r="23" hidden="1">
      <c r="A23" s="21" t="n"/>
      <c r="B23" s="4" t="n"/>
      <c r="D23" s="4" t="n"/>
      <c r="E23" s="4" t="n"/>
      <c r="F23" s="4" t="n"/>
      <c r="G23" s="4" t="n"/>
      <c r="H23" s="4" t="n"/>
      <c r="M23" s="4" t="n"/>
      <c r="N23" s="4" t="n"/>
      <c r="O23" s="5" t="n"/>
      <c r="P23" s="4" t="n"/>
      <c r="R23" s="4" t="n"/>
      <c r="T23" s="21" t="n"/>
    </row>
    <row r="24" hidden="1">
      <c r="A24" s="21" t="n"/>
      <c r="B24" s="4" t="n"/>
      <c r="D24" s="4" t="n"/>
      <c r="E24" s="4" t="n"/>
      <c r="F24" s="4" t="n"/>
      <c r="G24" s="4" t="n"/>
      <c r="H24" s="4" t="n"/>
      <c r="M24" s="4" t="n"/>
      <c r="N24" s="4" t="n"/>
      <c r="O24" s="5" t="n"/>
      <c r="P24" s="4" t="n"/>
      <c r="R24" s="4" t="n"/>
      <c r="T24" s="21" t="n"/>
    </row>
    <row r="25" customFormat="1" s="27">
      <c r="A25" s="25" t="n"/>
      <c r="B25" s="26" t="n"/>
      <c r="C25" s="27" t="n"/>
      <c r="D25" s="26" t="n"/>
      <c r="E25" s="26" t="n"/>
      <c r="F25" s="26" t="n"/>
      <c r="G25" s="26" t="n"/>
      <c r="H25" s="28" t="n"/>
      <c r="I25" s="29" t="n"/>
      <c r="J25" s="29" t="n"/>
      <c r="K25" s="29" t="n"/>
      <c r="L25" s="27" t="n"/>
      <c r="M25" s="26" t="n"/>
      <c r="N25" s="32" t="n"/>
      <c r="O25" s="33" t="n"/>
      <c r="P25" s="26" t="n"/>
      <c r="Q25" s="35" t="n"/>
      <c r="R25" s="26" t="n"/>
      <c r="S25" s="29" t="n"/>
      <c r="T25" s="25" t="n"/>
    </row>
    <row r="26" customFormat="1" s="27">
      <c r="A26" s="25" t="n"/>
      <c r="B26" s="26" t="n"/>
      <c r="C26" s="27" t="n"/>
      <c r="D26" s="26" t="n"/>
      <c r="E26" s="26" t="n"/>
      <c r="F26" s="26" t="n"/>
      <c r="G26" s="26" t="n"/>
      <c r="H26" s="28" t="n"/>
      <c r="I26" s="29" t="n"/>
      <c r="J26" s="29" t="n"/>
      <c r="K26" s="29" t="n"/>
      <c r="L26" s="27" t="n"/>
      <c r="M26" s="26" t="n"/>
      <c r="N26" s="32" t="n"/>
      <c r="O26" s="33" t="n"/>
      <c r="P26" s="26" t="n"/>
      <c r="Q26" s="35" t="n"/>
      <c r="R26" s="26" t="n"/>
      <c r="S26" s="29" t="n"/>
      <c r="T26" s="25" t="n"/>
    </row>
    <row r="27" hidden="1">
      <c r="A27" s="21" t="n"/>
      <c r="B27" s="4" t="n"/>
      <c r="D27" s="4" t="n"/>
      <c r="E27" s="4" t="n"/>
      <c r="F27" s="4" t="n"/>
      <c r="G27" s="4" t="n"/>
      <c r="H27" s="22" t="n"/>
      <c r="M27" s="4" t="n"/>
      <c r="N27" s="4" t="n"/>
      <c r="O27" s="5" t="n"/>
      <c r="P27" s="4" t="n"/>
      <c r="R27" s="4" t="n"/>
      <c r="T27" s="21" t="n"/>
    </row>
    <row r="28">
      <c r="A28" s="21" t="n"/>
      <c r="B28" s="4" t="n"/>
      <c r="D28" s="4" t="n"/>
      <c r="E28" s="4" t="n"/>
      <c r="F28" s="4" t="n"/>
      <c r="G28" s="4" t="n"/>
      <c r="H28" s="22" t="n"/>
      <c r="L28" s="20" t="n"/>
      <c r="M28" s="4" t="n"/>
      <c r="N28" s="32" t="n"/>
      <c r="O28" s="33" t="n"/>
      <c r="P28" s="4" t="n"/>
      <c r="Q28" s="34" t="n"/>
      <c r="R28" s="4" t="n"/>
      <c r="T28" s="21" t="n"/>
    </row>
    <row r="29" hidden="1">
      <c r="A29" s="21" t="n"/>
      <c r="B29" s="4" t="n"/>
      <c r="D29" s="4" t="n"/>
      <c r="E29" s="4" t="n"/>
      <c r="F29" s="4" t="n"/>
      <c r="G29" s="4" t="n"/>
      <c r="H29" s="22" t="n"/>
      <c r="M29" s="4" t="n"/>
      <c r="N29" s="4" t="n"/>
      <c r="O29" s="5" t="n"/>
      <c r="P29" s="4" t="n"/>
      <c r="R29" s="4" t="n"/>
      <c r="T29" s="21" t="n"/>
    </row>
    <row r="30" customFormat="1" s="27">
      <c r="A30" s="25" t="n"/>
      <c r="B30" s="26" t="n"/>
      <c r="C30" s="27" t="n"/>
      <c r="D30" s="26" t="n"/>
      <c r="E30" s="26" t="n"/>
      <c r="F30" s="26" t="n"/>
      <c r="G30" s="26" t="n"/>
      <c r="H30" s="28" t="n"/>
      <c r="I30" s="29" t="n"/>
      <c r="J30" s="29" t="n"/>
      <c r="K30" s="29" t="n"/>
      <c r="L30" s="30" t="n"/>
      <c r="M30" s="26" t="n"/>
      <c r="N30" s="32" t="n"/>
      <c r="O30" s="33" t="n"/>
      <c r="P30" s="26" t="n"/>
      <c r="Q30" s="35" t="n"/>
      <c r="R30" s="26" t="n"/>
      <c r="S30" s="29" t="n"/>
      <c r="T30" s="25" t="n"/>
    </row>
    <row r="31" customFormat="1" s="27">
      <c r="A31" s="25" t="n"/>
      <c r="B31" s="26" t="n"/>
      <c r="C31" s="27" t="n"/>
      <c r="D31" s="26" t="n"/>
      <c r="E31" s="26" t="n"/>
      <c r="F31" s="26" t="n"/>
      <c r="G31" s="26" t="n"/>
      <c r="H31" s="28" t="n"/>
      <c r="I31" s="29" t="n"/>
      <c r="J31" s="29" t="n"/>
      <c r="K31" s="29" t="n"/>
      <c r="L31" s="30" t="n"/>
      <c r="M31" s="26" t="n"/>
      <c r="N31" s="32" t="n"/>
      <c r="O31" s="33" t="n"/>
      <c r="P31" s="26" t="n"/>
      <c r="Q31" s="35" t="n"/>
      <c r="R31" s="26" t="n"/>
      <c r="S31" s="29" t="n"/>
      <c r="T31" s="25" t="n"/>
    </row>
    <row r="32">
      <c r="A32" s="21" t="n"/>
      <c r="B32" s="4" t="n"/>
      <c r="D32" s="4" t="n"/>
      <c r="E32" s="4" t="n"/>
      <c r="F32" s="4" t="n"/>
      <c r="G32" s="4" t="n"/>
      <c r="H32" s="22" t="n"/>
      <c r="L32" s="20" t="n"/>
      <c r="M32" s="4" t="n"/>
      <c r="N32" s="32" t="n"/>
      <c r="O32" s="33" t="n"/>
      <c r="P32" s="4" t="n"/>
      <c r="Q32" s="34" t="n"/>
      <c r="R32" s="4" t="n"/>
      <c r="S32" s="29" t="n"/>
      <c r="T32" s="21" t="n"/>
    </row>
    <row r="33" hidden="1">
      <c r="A33" s="21" t="n"/>
      <c r="B33" s="4" t="n"/>
      <c r="D33" s="4" t="n"/>
      <c r="E33" s="4" t="n"/>
      <c r="F33" s="4" t="n"/>
      <c r="G33" s="4" t="n"/>
      <c r="H33" s="22" t="n"/>
      <c r="M33" s="4" t="n"/>
      <c r="N33" s="4" t="n"/>
      <c r="O33" s="5" t="n"/>
      <c r="P33" s="4" t="n"/>
      <c r="R33" s="4" t="n"/>
      <c r="T33" s="21" t="n"/>
    </row>
    <row r="34" hidden="1">
      <c r="A34" s="21" t="n"/>
      <c r="B34" s="4" t="n"/>
      <c r="D34" s="4" t="n"/>
      <c r="E34" s="4" t="n"/>
      <c r="F34" s="4" t="n"/>
      <c r="G34" s="4" t="n"/>
      <c r="H34" s="22" t="n"/>
      <c r="M34" s="4" t="n"/>
      <c r="N34" s="4" t="n"/>
      <c r="O34" s="5" t="n"/>
      <c r="P34" s="4" t="n"/>
      <c r="R34" s="4" t="n"/>
      <c r="T34" s="21" t="n"/>
    </row>
    <row r="35" hidden="1">
      <c r="A35" s="21" t="n"/>
      <c r="B35" s="4" t="n"/>
      <c r="D35" s="4" t="n"/>
      <c r="E35" s="4" t="n"/>
      <c r="F35" s="4" t="n"/>
      <c r="G35" s="4" t="n"/>
      <c r="H35" s="22" t="n"/>
      <c r="M35" s="4" t="n"/>
      <c r="N35" s="4" t="n"/>
      <c r="O35" s="5" t="n"/>
      <c r="P35" s="4" t="n"/>
      <c r="R35" s="4" t="n"/>
      <c r="T35" s="21" t="n"/>
    </row>
    <row r="36" hidden="1">
      <c r="A36" s="21" t="n"/>
      <c r="B36" s="4" t="n"/>
      <c r="D36" s="4" t="n"/>
      <c r="E36" s="4" t="n"/>
      <c r="F36" s="4" t="n"/>
      <c r="G36" s="4" t="n"/>
      <c r="H36" s="22" t="n"/>
      <c r="M36" s="4" t="n"/>
      <c r="N36" s="4" t="n"/>
      <c r="O36" s="5" t="n"/>
      <c r="P36" s="4" t="n"/>
      <c r="R36" s="4" t="n"/>
      <c r="T36" s="21" t="n"/>
    </row>
    <row r="37" hidden="1">
      <c r="A37" s="21" t="n"/>
      <c r="B37" s="4" t="n"/>
      <c r="D37" s="4" t="n"/>
      <c r="E37" s="4" t="n"/>
      <c r="F37" s="4" t="n"/>
      <c r="G37" s="4" t="n"/>
      <c r="H37" s="22" t="n"/>
      <c r="M37" s="4" t="n"/>
      <c r="N37" s="4" t="n"/>
      <c r="O37" s="5" t="n"/>
      <c r="P37" s="4" t="n"/>
      <c r="R37" s="4" t="n"/>
      <c r="T37" s="21" t="n"/>
    </row>
    <row r="38" hidden="1">
      <c r="A38" s="21" t="n"/>
      <c r="B38" s="4" t="n"/>
      <c r="D38" s="4" t="n"/>
      <c r="E38" s="4" t="n"/>
      <c r="F38" s="4" t="n"/>
      <c r="G38" s="4" t="n"/>
      <c r="H38" s="22" t="n"/>
      <c r="M38" s="4" t="n"/>
      <c r="N38" s="4" t="n"/>
      <c r="O38" s="5" t="n"/>
      <c r="P38" s="4" t="n"/>
      <c r="R38" s="4" t="n"/>
      <c r="T38" s="21" t="n"/>
    </row>
    <row r="39" hidden="1">
      <c r="A39" s="21" t="n"/>
      <c r="B39" s="4" t="n"/>
      <c r="D39" s="4" t="n"/>
      <c r="E39" s="4" t="n"/>
      <c r="F39" s="4" t="n"/>
      <c r="G39" s="4" t="n"/>
      <c r="H39" s="22" t="n"/>
      <c r="M39" s="4" t="n"/>
      <c r="N39" s="4" t="n"/>
      <c r="O39" s="5" t="n"/>
      <c r="P39" s="4" t="n"/>
      <c r="R39" s="4" t="n"/>
      <c r="T39" s="21" t="n"/>
    </row>
    <row r="40" hidden="1">
      <c r="A40" s="21" t="n"/>
      <c r="B40" s="4" t="n"/>
      <c r="D40" s="4" t="n"/>
      <c r="E40" s="4" t="n"/>
      <c r="F40" s="4" t="n"/>
      <c r="G40" s="4" t="n"/>
      <c r="H40" s="22" t="n"/>
      <c r="M40" s="4" t="n"/>
      <c r="N40" s="4" t="n"/>
      <c r="O40" s="5" t="n"/>
      <c r="P40" s="4" t="n"/>
      <c r="R40" s="4" t="n"/>
      <c r="T40" s="21" t="n"/>
    </row>
    <row r="41">
      <c r="A41" s="21" t="n"/>
      <c r="B41" s="4" t="n"/>
      <c r="D41" s="4" t="n"/>
      <c r="E41" s="4" t="n"/>
      <c r="F41" s="4" t="n"/>
      <c r="G41" s="4" t="n"/>
      <c r="H41" s="22" t="n"/>
      <c r="L41" s="20" t="n"/>
      <c r="M41" s="4" t="n"/>
      <c r="N41" s="32" t="n"/>
      <c r="O41" s="33" t="n"/>
      <c r="P41" s="4" t="n"/>
      <c r="Q41" s="34" t="n"/>
      <c r="R41" s="4" t="n"/>
      <c r="T41" s="21" t="n"/>
    </row>
    <row r="42" hidden="1">
      <c r="A42" s="21" t="n"/>
      <c r="B42" s="4" t="n"/>
      <c r="D42" s="4" t="n"/>
      <c r="E42" s="4" t="n"/>
      <c r="F42" s="4" t="n"/>
      <c r="G42" s="4" t="n"/>
      <c r="H42" s="22" t="n"/>
      <c r="M42" s="4" t="n"/>
      <c r="N42" s="4" t="n"/>
      <c r="O42" s="5" t="n"/>
      <c r="P42" s="4" t="n"/>
      <c r="R42" s="4" t="n"/>
      <c r="T42" s="21" t="n"/>
    </row>
    <row r="43" hidden="1">
      <c r="A43" s="21" t="n"/>
      <c r="B43" s="4" t="n"/>
      <c r="D43" s="4" t="n"/>
      <c r="E43" s="4" t="n"/>
      <c r="F43" s="4" t="n"/>
      <c r="G43" s="4" t="n"/>
      <c r="H43" s="22" t="n"/>
      <c r="M43" s="4" t="n"/>
      <c r="N43" s="4" t="n"/>
      <c r="O43" s="5" t="n"/>
      <c r="P43" s="4" t="n"/>
      <c r="R43" s="4" t="n"/>
      <c r="T43" s="21" t="n"/>
    </row>
    <row r="44">
      <c r="A44" s="21" t="n"/>
      <c r="B44" s="4" t="n"/>
      <c r="D44" s="4" t="n"/>
      <c r="E44" s="4" t="n"/>
      <c r="F44" s="4" t="n"/>
      <c r="G44" s="4" t="n"/>
      <c r="H44" s="22" t="n"/>
      <c r="L44" s="20" t="n"/>
      <c r="M44" s="4" t="n"/>
      <c r="N44" s="32" t="n"/>
      <c r="O44" s="33" t="n"/>
      <c r="P44" s="4" t="n"/>
      <c r="Q44" s="34" t="n"/>
      <c r="R44" s="4" t="n"/>
      <c r="T44" s="21" t="n"/>
    </row>
    <row r="45" hidden="1">
      <c r="A45" s="21" t="n"/>
      <c r="B45" s="4" t="n"/>
      <c r="D45" s="4" t="n"/>
      <c r="E45" s="4" t="n"/>
      <c r="F45" s="4" t="n"/>
      <c r="G45" s="4" t="n"/>
      <c r="H45" s="22" t="n"/>
      <c r="M45" s="4" t="n"/>
      <c r="N45" s="4" t="n"/>
      <c r="O45" s="5" t="n"/>
      <c r="P45" s="4" t="n"/>
      <c r="R45" s="4" t="n"/>
      <c r="T45" s="21" t="n"/>
    </row>
    <row r="46" hidden="1">
      <c r="A46" s="21" t="n"/>
      <c r="B46" s="4" t="n"/>
      <c r="D46" s="4" t="n"/>
      <c r="E46" s="4" t="n"/>
      <c r="F46" s="4" t="n"/>
      <c r="G46" s="4" t="n"/>
      <c r="H46" s="22" t="n"/>
      <c r="M46" s="4" t="n"/>
      <c r="N46" s="4" t="n"/>
      <c r="O46" s="5" t="n"/>
      <c r="P46" s="4" t="n"/>
      <c r="R46" s="4" t="n"/>
      <c r="T46" s="21" t="n"/>
    </row>
    <row r="47" hidden="1">
      <c r="A47" s="21" t="n"/>
      <c r="B47" s="4" t="n"/>
      <c r="D47" s="4" t="n"/>
      <c r="E47" s="4" t="n"/>
      <c r="F47" s="4" t="n"/>
      <c r="G47" s="4" t="n"/>
      <c r="H47" s="22" t="n"/>
      <c r="M47" s="4" t="n"/>
      <c r="N47" s="4" t="n"/>
      <c r="O47" s="5" t="n"/>
      <c r="P47" s="4" t="n"/>
      <c r="R47" s="4" t="n"/>
      <c r="T47" s="21" t="n"/>
    </row>
    <row r="48" hidden="1">
      <c r="A48" s="21" t="n"/>
      <c r="B48" s="4" t="n"/>
      <c r="D48" s="4" t="n"/>
      <c r="E48" s="4" t="n"/>
      <c r="F48" s="4" t="n"/>
      <c r="G48" s="4" t="n"/>
      <c r="H48" s="22" t="n"/>
      <c r="M48" s="4" t="n"/>
      <c r="N48" s="4" t="n"/>
      <c r="O48" s="5" t="n"/>
      <c r="P48" s="4" t="n"/>
      <c r="R48" s="4" t="n"/>
      <c r="T48" s="21" t="n"/>
    </row>
    <row r="49" hidden="1">
      <c r="A49" s="21" t="n"/>
      <c r="B49" s="4" t="n"/>
      <c r="D49" s="4" t="n"/>
      <c r="E49" s="4" t="n"/>
      <c r="F49" s="4" t="n"/>
      <c r="G49" s="4" t="n"/>
      <c r="H49" s="22" t="n"/>
      <c r="M49" s="4" t="n"/>
      <c r="N49" s="4" t="n"/>
      <c r="O49" s="5" t="n"/>
      <c r="P49" s="4" t="n"/>
      <c r="R49" s="4" t="n"/>
      <c r="T49" s="21" t="n"/>
    </row>
    <row r="50" hidden="1">
      <c r="A50" s="21" t="n"/>
      <c r="B50" s="4" t="n"/>
      <c r="D50" s="4" t="n"/>
      <c r="E50" s="4" t="n"/>
      <c r="F50" s="4" t="n"/>
      <c r="G50" s="4" t="n"/>
      <c r="H50" s="22" t="n"/>
      <c r="M50" s="4" t="n"/>
      <c r="N50" s="4" t="n"/>
      <c r="O50" s="5" t="n"/>
      <c r="P50" s="4" t="n"/>
      <c r="R50" s="4" t="n"/>
      <c r="T50" s="21" t="n"/>
    </row>
    <row r="51" hidden="1">
      <c r="A51" s="21" t="n"/>
      <c r="B51" s="4" t="n"/>
      <c r="D51" s="4" t="n"/>
      <c r="E51" s="4" t="n"/>
      <c r="F51" s="4" t="n"/>
      <c r="G51" s="4" t="n"/>
      <c r="H51" s="22" t="n"/>
      <c r="M51" s="4" t="n"/>
      <c r="N51" s="4" t="n"/>
      <c r="O51" s="5" t="n"/>
      <c r="P51" s="4" t="n"/>
      <c r="R51" s="4" t="n"/>
      <c r="T51" s="21" t="n"/>
    </row>
    <row r="52" hidden="1">
      <c r="A52" s="21" t="n"/>
      <c r="B52" s="4" t="n"/>
      <c r="D52" s="4" t="n"/>
      <c r="E52" s="4" t="n"/>
      <c r="F52" s="4" t="n"/>
      <c r="G52" s="4" t="n"/>
      <c r="H52" s="22" t="n"/>
      <c r="M52" s="4" t="n"/>
      <c r="N52" s="4" t="n"/>
      <c r="O52" s="5" t="n"/>
      <c r="P52" s="4" t="n"/>
      <c r="R52" s="4" t="n"/>
      <c r="T52" s="21" t="n"/>
    </row>
    <row r="53" hidden="1">
      <c r="A53" s="21" t="n"/>
      <c r="B53" s="4" t="n"/>
      <c r="D53" s="4" t="n"/>
      <c r="E53" s="4" t="n"/>
      <c r="F53" s="4" t="n"/>
      <c r="G53" s="4" t="n"/>
      <c r="H53" s="22" t="n"/>
      <c r="M53" s="4" t="n"/>
      <c r="N53" s="4" t="n"/>
      <c r="O53" s="5" t="n"/>
      <c r="P53" s="4" t="n"/>
      <c r="R53" s="4" t="n"/>
      <c r="T53" s="21" t="n"/>
    </row>
    <row r="54" hidden="1">
      <c r="A54" s="21" t="n"/>
      <c r="B54" s="4" t="n"/>
      <c r="D54" s="4" t="n"/>
      <c r="E54" s="4" t="n"/>
      <c r="F54" s="4" t="n"/>
      <c r="G54" s="4" t="n"/>
      <c r="H54" s="22" t="n"/>
      <c r="M54" s="4" t="n"/>
      <c r="N54" s="4" t="n"/>
      <c r="O54" s="5" t="n"/>
      <c r="P54" s="4" t="n"/>
      <c r="R54" s="4" t="n"/>
      <c r="T54" s="21" t="n"/>
    </row>
    <row r="55" hidden="1">
      <c r="A55" s="21" t="n"/>
      <c r="B55" s="4" t="n"/>
      <c r="D55" s="4" t="n"/>
      <c r="E55" s="4" t="n"/>
      <c r="F55" s="4" t="n"/>
      <c r="G55" s="4" t="n"/>
      <c r="H55" s="22" t="n"/>
      <c r="M55" s="4" t="n"/>
      <c r="N55" s="4" t="n"/>
      <c r="O55" s="5" t="n"/>
      <c r="P55" s="4" t="n"/>
      <c r="R55" s="4" t="n"/>
      <c r="T55" s="21" t="n"/>
    </row>
    <row r="56" hidden="1">
      <c r="A56" s="21" t="n"/>
      <c r="B56" s="4" t="n"/>
      <c r="D56" s="4" t="n"/>
      <c r="E56" s="4" t="n"/>
      <c r="F56" s="4" t="n"/>
      <c r="G56" s="4" t="n"/>
      <c r="H56" s="22" t="n"/>
      <c r="M56" s="4" t="n"/>
      <c r="N56" s="4" t="n"/>
      <c r="O56" s="5" t="n"/>
      <c r="P56" s="4" t="n"/>
      <c r="R56" s="4" t="n"/>
      <c r="T56" s="21" t="n"/>
    </row>
    <row r="57" hidden="1">
      <c r="A57" s="21" t="n"/>
      <c r="B57" s="4" t="n"/>
      <c r="D57" s="4" t="n"/>
      <c r="E57" s="4" t="n"/>
      <c r="F57" s="4" t="n"/>
      <c r="G57" s="4" t="n"/>
      <c r="H57" s="22" t="n"/>
      <c r="M57" s="4" t="n"/>
      <c r="N57" s="4" t="n"/>
      <c r="O57" s="5" t="n"/>
      <c r="P57" s="4" t="n"/>
      <c r="R57" s="4" t="n"/>
      <c r="T57" s="21" t="n"/>
    </row>
    <row r="58" hidden="1">
      <c r="A58" s="21" t="n"/>
      <c r="B58" s="4" t="n"/>
      <c r="D58" s="4" t="n"/>
      <c r="E58" s="4" t="n"/>
      <c r="F58" s="4" t="n"/>
      <c r="G58" s="4" t="n"/>
      <c r="H58" s="22" t="n"/>
      <c r="M58" s="4" t="n"/>
      <c r="N58" s="4" t="n"/>
      <c r="O58" s="5" t="n"/>
      <c r="P58" s="4" t="n"/>
      <c r="R58" s="4" t="n"/>
      <c r="T58" s="21" t="n"/>
    </row>
    <row r="59" hidden="1">
      <c r="A59" s="21" t="n"/>
      <c r="B59" s="4" t="n"/>
      <c r="D59" s="4" t="n"/>
      <c r="E59" s="4" t="n"/>
      <c r="F59" s="4" t="n"/>
      <c r="G59" s="4" t="n"/>
      <c r="H59" s="22" t="n"/>
      <c r="M59" s="4" t="n"/>
      <c r="N59" s="4" t="n"/>
      <c r="O59" s="5" t="n"/>
      <c r="P59" s="4" t="n"/>
      <c r="R59" s="4" t="n"/>
      <c r="T59" s="21" t="n"/>
    </row>
    <row r="60" hidden="1">
      <c r="A60" s="21" t="n"/>
      <c r="B60" s="4" t="n"/>
      <c r="D60" s="4" t="n"/>
      <c r="E60" s="4" t="n"/>
      <c r="F60" s="4" t="n"/>
      <c r="G60" s="4" t="n"/>
      <c r="H60" s="22" t="n"/>
      <c r="M60" s="4" t="n"/>
      <c r="N60" s="4" t="n"/>
      <c r="O60" s="5" t="n"/>
      <c r="P60" s="4" t="n"/>
      <c r="R60" s="4" t="n"/>
      <c r="T60" s="21" t="n"/>
    </row>
    <row r="61" hidden="1">
      <c r="A61" s="21" t="n"/>
      <c r="B61" s="4" t="n"/>
      <c r="D61" s="4" t="n"/>
      <c r="E61" s="4" t="n"/>
      <c r="F61" s="4" t="n"/>
      <c r="G61" s="4" t="n"/>
      <c r="H61" s="22" t="n"/>
      <c r="M61" s="4" t="n"/>
      <c r="N61" s="4" t="n"/>
      <c r="O61" s="5" t="n"/>
      <c r="P61" s="4" t="n"/>
      <c r="R61" s="4" t="n"/>
      <c r="T61" s="21" t="n"/>
    </row>
    <row r="62" hidden="1">
      <c r="A62" s="21" t="n"/>
      <c r="B62" s="4" t="n"/>
      <c r="D62" s="4" t="n"/>
      <c r="E62" s="4" t="n"/>
      <c r="F62" s="4" t="n"/>
      <c r="G62" s="4" t="n"/>
      <c r="H62" s="22" t="n"/>
      <c r="M62" s="4" t="n"/>
      <c r="N62" s="4" t="n"/>
      <c r="O62" s="5" t="n"/>
      <c r="P62" s="4" t="n"/>
      <c r="R62" s="4" t="n"/>
      <c r="T62" s="21" t="n"/>
    </row>
    <row r="63" hidden="1">
      <c r="A63" s="21" t="n"/>
      <c r="B63" s="4" t="n"/>
      <c r="D63" s="4" t="n"/>
      <c r="E63" s="4" t="n"/>
      <c r="F63" s="4" t="n"/>
      <c r="G63" s="4" t="n"/>
      <c r="H63" s="22" t="n"/>
      <c r="M63" s="4" t="n"/>
      <c r="N63" s="4" t="n"/>
      <c r="O63" s="5" t="n"/>
      <c r="P63" s="4" t="n"/>
      <c r="R63" s="4" t="n"/>
      <c r="T63" s="21" t="n"/>
    </row>
    <row r="64" hidden="1">
      <c r="A64" s="21" t="n"/>
      <c r="B64" s="4" t="n"/>
      <c r="D64" s="4" t="n"/>
      <c r="E64" s="4" t="n"/>
      <c r="F64" s="4" t="n"/>
      <c r="G64" s="4" t="n"/>
      <c r="H64" s="22" t="n"/>
      <c r="M64" s="4" t="n"/>
      <c r="N64" s="4" t="n"/>
      <c r="O64" s="5" t="n"/>
      <c r="P64" s="4" t="n"/>
      <c r="R64" s="4" t="n"/>
      <c r="T64" s="21" t="n"/>
    </row>
    <row r="65" hidden="1">
      <c r="A65" s="21" t="n"/>
      <c r="B65" s="4" t="n"/>
      <c r="D65" s="4" t="n"/>
      <c r="E65" s="4" t="n"/>
      <c r="F65" s="4" t="n"/>
      <c r="G65" s="4" t="n"/>
      <c r="H65" s="22" t="n"/>
      <c r="M65" s="4" t="n"/>
      <c r="N65" s="4" t="n"/>
      <c r="O65" s="5" t="n"/>
      <c r="P65" s="4" t="n"/>
      <c r="R65" s="4" t="n"/>
      <c r="T65" s="21" t="n"/>
    </row>
    <row r="66" hidden="1">
      <c r="A66" s="21" t="n"/>
      <c r="B66" s="4" t="n"/>
      <c r="D66" s="4" t="n"/>
      <c r="E66" s="4" t="n"/>
      <c r="F66" s="4" t="n"/>
      <c r="G66" s="4" t="n"/>
      <c r="H66" s="22" t="n"/>
      <c r="M66" s="4" t="n"/>
      <c r="N66" s="4" t="n"/>
      <c r="O66" s="5" t="n"/>
      <c r="P66" s="4" t="n"/>
      <c r="R66" s="4" t="n"/>
      <c r="T66" s="21" t="n"/>
    </row>
    <row r="67" hidden="1">
      <c r="A67" s="21" t="n"/>
      <c r="B67" s="4" t="n"/>
      <c r="D67" s="4" t="n"/>
      <c r="E67" s="4" t="n"/>
      <c r="F67" s="4" t="n"/>
      <c r="G67" s="4" t="n"/>
      <c r="H67" s="22" t="n"/>
      <c r="M67" s="4" t="n"/>
      <c r="N67" s="4" t="n"/>
      <c r="O67" s="5" t="n"/>
      <c r="P67" s="4" t="n"/>
      <c r="R67" s="4" t="n"/>
      <c r="T67" s="21" t="n"/>
    </row>
    <row r="68" hidden="1">
      <c r="A68" s="21" t="n"/>
      <c r="B68" s="4" t="n"/>
      <c r="D68" s="4" t="n"/>
      <c r="E68" s="4" t="n"/>
      <c r="F68" s="4" t="n"/>
      <c r="G68" s="4" t="n"/>
      <c r="H68" s="22" t="n"/>
      <c r="M68" s="4" t="n"/>
      <c r="N68" s="4" t="n"/>
      <c r="O68" s="5" t="n"/>
      <c r="P68" s="4" t="n"/>
      <c r="R68" s="4" t="n"/>
      <c r="T68" s="21" t="n"/>
    </row>
    <row r="69" hidden="1">
      <c r="A69" s="21" t="n"/>
      <c r="B69" s="4" t="n"/>
      <c r="D69" s="4" t="n"/>
      <c r="E69" s="4" t="n"/>
      <c r="F69" s="4" t="n"/>
      <c r="G69" s="4" t="n"/>
      <c r="H69" s="22" t="n"/>
      <c r="M69" s="4" t="n"/>
      <c r="N69" s="4" t="n"/>
      <c r="O69" s="5" t="n"/>
      <c r="P69" s="4" t="n"/>
      <c r="R69" s="4" t="n"/>
      <c r="T69" s="21" t="n"/>
    </row>
    <row r="70" hidden="1">
      <c r="A70" s="21" t="n"/>
      <c r="B70" s="4" t="n"/>
      <c r="D70" s="4" t="n"/>
      <c r="E70" s="4" t="n"/>
      <c r="F70" s="4" t="n"/>
      <c r="G70" s="4" t="n"/>
      <c r="H70" s="22" t="n"/>
      <c r="M70" s="4" t="n"/>
      <c r="N70" s="4" t="n"/>
      <c r="O70" s="5" t="n"/>
      <c r="P70" s="4" t="n"/>
      <c r="R70" s="4" t="n"/>
      <c r="T70" s="21" t="n"/>
    </row>
    <row r="71" hidden="1">
      <c r="A71" s="21" t="n"/>
      <c r="B71" s="4" t="n"/>
      <c r="D71" s="4" t="n"/>
      <c r="E71" s="4" t="n"/>
      <c r="F71" s="4" t="n"/>
      <c r="G71" s="4" t="n"/>
      <c r="H71" s="22" t="n"/>
      <c r="M71" s="4" t="n"/>
      <c r="N71" s="4" t="n"/>
      <c r="O71" s="5" t="n"/>
      <c r="P71" s="4" t="n"/>
      <c r="R71" s="4" t="n"/>
      <c r="T71" s="21" t="n"/>
    </row>
    <row r="72" hidden="1">
      <c r="A72" s="21" t="n"/>
      <c r="B72" s="4" t="n"/>
      <c r="D72" s="4" t="n"/>
      <c r="E72" s="4" t="n"/>
      <c r="F72" s="4" t="n"/>
      <c r="G72" s="4" t="n"/>
      <c r="H72" s="22" t="n"/>
      <c r="M72" s="4" t="n"/>
      <c r="N72" s="4" t="n"/>
      <c r="O72" s="5" t="n"/>
      <c r="P72" s="4" t="n"/>
      <c r="R72" s="4" t="n"/>
      <c r="T72" s="21" t="n"/>
    </row>
    <row r="73" hidden="1">
      <c r="A73" s="21" t="n"/>
      <c r="B73" s="4" t="n"/>
      <c r="D73" s="4" t="n"/>
      <c r="E73" s="4" t="n"/>
      <c r="F73" s="4" t="n"/>
      <c r="G73" s="4" t="n"/>
      <c r="H73" s="22" t="n"/>
      <c r="M73" s="4" t="n"/>
      <c r="N73" s="4" t="n"/>
      <c r="O73" s="5" t="n"/>
      <c r="P73" s="4" t="n"/>
      <c r="R73" s="4" t="n"/>
      <c r="T73" s="21" t="n"/>
    </row>
    <row r="74" hidden="1">
      <c r="A74" s="21" t="n"/>
      <c r="B74" s="4" t="n"/>
      <c r="D74" s="4" t="n"/>
      <c r="E74" s="4" t="n"/>
      <c r="F74" s="4" t="n"/>
      <c r="G74" s="4" t="n"/>
      <c r="H74" s="22" t="n"/>
      <c r="M74" s="4" t="n"/>
      <c r="N74" s="4" t="n"/>
      <c r="O74" s="5" t="n"/>
      <c r="P74" s="4" t="n"/>
      <c r="R74" s="4" t="n"/>
      <c r="T74" s="21" t="n"/>
    </row>
    <row r="75" hidden="1">
      <c r="A75" s="21" t="n"/>
      <c r="B75" s="4" t="n"/>
      <c r="D75" s="4" t="n"/>
      <c r="E75" s="4" t="n"/>
      <c r="F75" s="4" t="n"/>
      <c r="G75" s="4" t="n"/>
      <c r="H75" s="22" t="n"/>
      <c r="M75" s="4" t="n"/>
      <c r="N75" s="4" t="n"/>
      <c r="O75" s="5" t="n"/>
      <c r="P75" s="4" t="n"/>
      <c r="R75" s="4" t="n"/>
      <c r="T75" s="21" t="n"/>
    </row>
    <row r="76" hidden="1">
      <c r="A76" s="21" t="n"/>
      <c r="B76" s="4" t="n"/>
      <c r="D76" s="4" t="n"/>
      <c r="E76" s="4" t="n"/>
      <c r="F76" s="4" t="n"/>
      <c r="G76" s="4" t="n"/>
      <c r="H76" s="22" t="n"/>
      <c r="M76" s="4" t="n"/>
      <c r="N76" s="4" t="n"/>
      <c r="O76" s="5" t="n"/>
      <c r="P76" s="4" t="n"/>
      <c r="R76" s="4" t="n"/>
      <c r="T76" s="21" t="n"/>
    </row>
    <row r="77" hidden="1">
      <c r="A77" s="21" t="n"/>
      <c r="B77" s="4" t="n"/>
      <c r="D77" s="4" t="n"/>
      <c r="E77" s="4" t="n"/>
      <c r="F77" s="4" t="n"/>
      <c r="G77" s="4" t="n"/>
      <c r="H77" s="22" t="n"/>
      <c r="M77" s="4" t="n"/>
      <c r="N77" s="4" t="n"/>
      <c r="O77" s="5" t="n"/>
      <c r="P77" s="4" t="n"/>
      <c r="R77" s="4" t="n"/>
      <c r="T77" s="21" t="n"/>
    </row>
    <row r="78" hidden="1">
      <c r="A78" s="21" t="n"/>
      <c r="B78" s="4" t="n"/>
      <c r="D78" s="4" t="n"/>
      <c r="E78" s="4" t="n"/>
      <c r="F78" s="4" t="n"/>
      <c r="G78" s="4" t="n"/>
      <c r="H78" s="22" t="n"/>
      <c r="M78" s="4" t="n"/>
      <c r="N78" s="4" t="n"/>
      <c r="O78" s="5" t="n"/>
      <c r="P78" s="4" t="n"/>
      <c r="R78" s="4" t="n"/>
      <c r="T78" s="21" t="n"/>
    </row>
    <row r="79" hidden="1">
      <c r="A79" s="21" t="n"/>
      <c r="B79" s="4" t="n"/>
      <c r="D79" s="4" t="n"/>
      <c r="E79" s="4" t="n"/>
      <c r="F79" s="4" t="n"/>
      <c r="G79" s="4" t="n"/>
      <c r="H79" s="22" t="n"/>
      <c r="M79" s="4" t="n"/>
      <c r="N79" s="4" t="n"/>
      <c r="O79" s="5" t="n"/>
      <c r="P79" s="4" t="n"/>
      <c r="R79" s="4" t="n"/>
      <c r="T79" s="21" t="n"/>
    </row>
    <row r="80" hidden="1">
      <c r="A80" s="21" t="n"/>
      <c r="B80" s="4" t="n"/>
      <c r="D80" s="4" t="n"/>
      <c r="E80" s="4" t="n"/>
      <c r="F80" s="4" t="n"/>
      <c r="G80" s="4" t="n"/>
      <c r="H80" s="22" t="n"/>
      <c r="M80" s="4" t="n"/>
      <c r="N80" s="4" t="n"/>
      <c r="O80" s="5" t="n"/>
      <c r="P80" s="4" t="n"/>
      <c r="R80" s="4" t="n"/>
      <c r="T80" s="21" t="n"/>
    </row>
    <row r="81" hidden="1">
      <c r="A81" s="21" t="n"/>
      <c r="B81" s="4" t="n"/>
      <c r="D81" s="4" t="n"/>
      <c r="E81" s="4" t="n"/>
      <c r="F81" s="4" t="n"/>
      <c r="G81" s="4" t="n"/>
      <c r="H81" s="22" t="n"/>
      <c r="M81" s="4" t="n"/>
      <c r="N81" s="4" t="n"/>
      <c r="O81" s="5" t="n"/>
      <c r="P81" s="4" t="n"/>
      <c r="R81" s="4" t="n"/>
      <c r="T81" s="21" t="n"/>
    </row>
    <row r="82" hidden="1">
      <c r="A82" s="21" t="n"/>
      <c r="B82" s="4" t="n"/>
      <c r="D82" s="4" t="n"/>
      <c r="E82" s="4" t="n"/>
      <c r="F82" s="4" t="n"/>
      <c r="G82" s="4" t="n"/>
      <c r="H82" s="22" t="n"/>
      <c r="M82" s="4" t="n"/>
      <c r="N82" s="4" t="n"/>
      <c r="O82" s="5" t="n"/>
      <c r="P82" s="4" t="n"/>
      <c r="R82" s="4" t="n"/>
      <c r="T82" s="21" t="n"/>
    </row>
    <row r="83" hidden="1">
      <c r="A83" s="21" t="n"/>
      <c r="B83" s="4" t="n"/>
      <c r="D83" s="4" t="n"/>
      <c r="E83" s="4" t="n"/>
      <c r="F83" s="4" t="n"/>
      <c r="G83" s="4" t="n"/>
      <c r="H83" s="22" t="n"/>
      <c r="M83" s="4" t="n"/>
      <c r="N83" s="4" t="n"/>
      <c r="O83" s="5" t="n"/>
      <c r="P83" s="4" t="n"/>
      <c r="R83" s="4" t="n"/>
      <c r="T83" s="21" t="n"/>
    </row>
    <row r="84" hidden="1">
      <c r="A84" s="21" t="n"/>
      <c r="B84" s="4" t="n"/>
      <c r="D84" s="4" t="n"/>
      <c r="E84" s="4" t="n"/>
      <c r="F84" s="4" t="n"/>
      <c r="G84" s="4" t="n"/>
      <c r="H84" s="22" t="n"/>
      <c r="M84" s="4" t="n"/>
      <c r="N84" s="4" t="n"/>
      <c r="O84" s="5" t="n"/>
      <c r="P84" s="4" t="n"/>
      <c r="R84" s="4" t="n"/>
      <c r="T84" s="21" t="n"/>
    </row>
    <row r="85" hidden="1">
      <c r="A85" s="21" t="n"/>
      <c r="B85" s="4" t="n"/>
      <c r="D85" s="4" t="n"/>
      <c r="E85" s="4" t="n"/>
      <c r="F85" s="4" t="n"/>
      <c r="G85" s="4" t="n"/>
      <c r="H85" s="22" t="n"/>
      <c r="M85" s="4" t="n"/>
      <c r="N85" s="4" t="n"/>
      <c r="O85" s="5" t="n"/>
      <c r="P85" s="4" t="n"/>
      <c r="R85" s="4" t="n"/>
      <c r="T85" s="21" t="n"/>
    </row>
    <row r="86" hidden="1">
      <c r="A86" s="21" t="n"/>
      <c r="B86" s="4" t="n"/>
      <c r="D86" s="4" t="n"/>
      <c r="E86" s="4" t="n"/>
      <c r="F86" s="4" t="n"/>
      <c r="G86" s="4" t="n"/>
      <c r="H86" s="22" t="n"/>
      <c r="M86" s="4" t="n"/>
      <c r="N86" s="4" t="n"/>
      <c r="O86" s="5" t="n"/>
      <c r="P86" s="4" t="n"/>
      <c r="R86" s="4" t="n"/>
      <c r="T86" s="21" t="n"/>
    </row>
    <row r="87" hidden="1">
      <c r="A87" s="21" t="n"/>
      <c r="B87" s="4" t="n"/>
      <c r="D87" s="4" t="n"/>
      <c r="E87" s="4" t="n"/>
      <c r="F87" s="4" t="n"/>
      <c r="G87" s="4" t="n"/>
      <c r="H87" s="22" t="n"/>
      <c r="M87" s="4" t="n"/>
      <c r="N87" s="4" t="n"/>
      <c r="O87" s="5" t="n"/>
      <c r="P87" s="4" t="n"/>
      <c r="R87" s="4" t="n"/>
      <c r="T87" s="21" t="n"/>
    </row>
    <row r="88" hidden="1">
      <c r="A88" s="21" t="n"/>
      <c r="B88" s="4" t="n"/>
      <c r="D88" s="4" t="n"/>
      <c r="E88" s="4" t="n"/>
      <c r="F88" s="4" t="n"/>
      <c r="G88" s="4" t="n"/>
      <c r="H88" s="22" t="n"/>
      <c r="M88" s="4" t="n"/>
      <c r="N88" s="4" t="n"/>
      <c r="O88" s="5" t="n"/>
      <c r="P88" s="4" t="n"/>
      <c r="R88" s="4" t="n"/>
      <c r="T88" s="21" t="n"/>
    </row>
    <row r="89" hidden="1">
      <c r="A89" s="21" t="n"/>
      <c r="B89" s="4" t="n"/>
      <c r="D89" s="4" t="n"/>
      <c r="E89" s="4" t="n"/>
      <c r="F89" s="4" t="n"/>
      <c r="G89" s="4" t="n"/>
      <c r="H89" s="22" t="n"/>
      <c r="M89" s="4" t="n"/>
      <c r="N89" s="4" t="n"/>
      <c r="O89" s="5" t="n"/>
      <c r="P89" s="4" t="n"/>
      <c r="R89" s="4" t="n"/>
      <c r="T89" s="21" t="n"/>
    </row>
    <row r="90" hidden="1">
      <c r="A90" s="21" t="n"/>
      <c r="B90" s="4" t="n"/>
      <c r="D90" s="4" t="n"/>
      <c r="E90" s="4" t="n"/>
      <c r="F90" s="4" t="n"/>
      <c r="G90" s="4" t="n"/>
      <c r="H90" s="22" t="n"/>
      <c r="M90" s="4" t="n"/>
      <c r="N90" s="4" t="n"/>
      <c r="O90" s="5" t="n"/>
      <c r="P90" s="4" t="n"/>
      <c r="R90" s="4" t="n"/>
      <c r="T90" s="21" t="n"/>
    </row>
    <row r="91" hidden="1">
      <c r="A91" s="21" t="n"/>
      <c r="B91" s="4" t="n"/>
      <c r="D91" s="4" t="n"/>
      <c r="E91" s="4" t="n"/>
      <c r="F91" s="4" t="n"/>
      <c r="G91" s="4" t="n"/>
      <c r="H91" s="22" t="n"/>
      <c r="M91" s="4" t="n"/>
      <c r="N91" s="4" t="n"/>
      <c r="O91" s="5" t="n"/>
      <c r="P91" s="4" t="n"/>
      <c r="R91" s="4" t="n"/>
      <c r="T91" s="21" t="n"/>
    </row>
    <row r="92" hidden="1">
      <c r="A92" s="21" t="n"/>
      <c r="B92" s="4" t="n"/>
      <c r="D92" s="4" t="n"/>
      <c r="E92" s="4" t="n"/>
      <c r="F92" s="4" t="n"/>
      <c r="G92" s="4" t="n"/>
      <c r="H92" s="22" t="n"/>
      <c r="M92" s="4" t="n"/>
      <c r="N92" s="4" t="n"/>
      <c r="O92" s="5" t="n"/>
      <c r="P92" s="4" t="n"/>
      <c r="R92" s="4" t="n"/>
      <c r="T92" s="21" t="n"/>
    </row>
    <row r="93" hidden="1">
      <c r="A93" s="21" t="n"/>
      <c r="B93" s="4" t="n"/>
      <c r="D93" s="4" t="n"/>
      <c r="E93" s="4" t="n"/>
      <c r="F93" s="4" t="n"/>
      <c r="G93" s="4" t="n"/>
      <c r="H93" s="22" t="n"/>
      <c r="M93" s="4" t="n"/>
      <c r="N93" s="4" t="n"/>
      <c r="O93" s="5" t="n"/>
      <c r="P93" s="4" t="n"/>
      <c r="R93" s="4" t="n"/>
      <c r="T93" s="21" t="n"/>
    </row>
    <row r="94" hidden="1">
      <c r="A94" s="21" t="n"/>
      <c r="B94" s="4" t="n"/>
      <c r="D94" s="4" t="n"/>
      <c r="E94" s="4" t="n"/>
      <c r="F94" s="4" t="n"/>
      <c r="G94" s="4" t="n"/>
      <c r="H94" s="22" t="n"/>
      <c r="M94" s="4" t="n"/>
      <c r="N94" s="4" t="n"/>
      <c r="O94" s="5" t="n"/>
      <c r="P94" s="4" t="n"/>
      <c r="R94" s="4" t="n"/>
      <c r="T94" s="21" t="n"/>
    </row>
    <row r="95" hidden="1">
      <c r="A95" s="21" t="n"/>
      <c r="B95" s="4" t="n"/>
      <c r="D95" s="4" t="n"/>
      <c r="E95" s="4" t="n"/>
      <c r="F95" s="4" t="n"/>
      <c r="G95" s="4" t="n"/>
      <c r="H95" s="22" t="n"/>
      <c r="M95" s="4" t="n"/>
      <c r="N95" s="4" t="n"/>
      <c r="O95" s="5" t="n"/>
      <c r="P95" s="4" t="n"/>
      <c r="R95" s="4" t="n"/>
      <c r="T95" s="21" t="n"/>
    </row>
    <row r="96" hidden="1">
      <c r="A96" s="21" t="n"/>
      <c r="B96" s="4" t="n"/>
      <c r="D96" s="4" t="n"/>
      <c r="E96" s="4" t="n"/>
      <c r="F96" s="4" t="n"/>
      <c r="G96" s="4" t="n"/>
      <c r="H96" s="22" t="n"/>
      <c r="M96" s="4" t="n"/>
      <c r="N96" s="4" t="n"/>
      <c r="O96" s="5" t="n"/>
      <c r="P96" s="4" t="n"/>
      <c r="R96" s="4" t="n"/>
      <c r="T96" s="21" t="n"/>
    </row>
    <row r="97" hidden="1">
      <c r="A97" s="21" t="n"/>
      <c r="B97" s="4" t="n"/>
      <c r="D97" s="4" t="n"/>
      <c r="E97" s="4" t="n"/>
      <c r="F97" s="4" t="n"/>
      <c r="G97" s="4" t="n"/>
      <c r="H97" s="22" t="n"/>
      <c r="M97" s="4" t="n"/>
      <c r="N97" s="4" t="n"/>
      <c r="O97" s="5" t="n"/>
      <c r="P97" s="4" t="n"/>
      <c r="R97" s="4" t="n"/>
      <c r="T97" s="21" t="n"/>
    </row>
    <row r="98" hidden="1">
      <c r="A98" s="21" t="n"/>
      <c r="B98" s="4" t="n"/>
      <c r="D98" s="4" t="n"/>
      <c r="E98" s="4" t="n"/>
      <c r="F98" s="4" t="n"/>
      <c r="G98" s="4" t="n"/>
      <c r="H98" s="22" t="n"/>
      <c r="M98" s="4" t="n"/>
      <c r="N98" s="4" t="n"/>
      <c r="O98" s="5" t="n"/>
      <c r="P98" s="4" t="n"/>
      <c r="R98" s="4" t="n"/>
      <c r="T98" s="21" t="n"/>
    </row>
    <row r="99" hidden="1">
      <c r="A99" s="21" t="n"/>
      <c r="B99" s="4" t="n"/>
      <c r="D99" s="4" t="n"/>
      <c r="E99" s="4" t="n"/>
      <c r="F99" s="4" t="n"/>
      <c r="G99" s="4" t="n"/>
      <c r="H99" s="22" t="n"/>
      <c r="M99" s="4" t="n"/>
      <c r="N99" s="4" t="n"/>
      <c r="O99" s="5" t="n"/>
      <c r="P99" s="4" t="n"/>
      <c r="R99" s="4" t="n"/>
      <c r="T99" s="21" t="n"/>
    </row>
    <row r="100" hidden="1">
      <c r="A100" s="21" t="n"/>
      <c r="B100" s="4" t="n"/>
      <c r="D100" s="4" t="n"/>
      <c r="E100" s="4" t="n"/>
      <c r="F100" s="4" t="n"/>
      <c r="G100" s="4" t="n"/>
      <c r="H100" s="22" t="n"/>
      <c r="M100" s="4" t="n"/>
      <c r="N100" s="4" t="n"/>
      <c r="O100" s="5" t="n"/>
      <c r="P100" s="4" t="n"/>
      <c r="R100" s="4" t="n"/>
      <c r="T100" s="21" t="n"/>
    </row>
    <row r="101" hidden="1">
      <c r="A101" s="21" t="n"/>
      <c r="B101" s="4" t="n"/>
      <c r="D101" s="4" t="n"/>
      <c r="E101" s="4" t="n"/>
      <c r="F101" s="4" t="n"/>
      <c r="G101" s="4" t="n"/>
      <c r="H101" s="22" t="n"/>
      <c r="M101" s="4" t="n"/>
      <c r="N101" s="4" t="n"/>
      <c r="O101" s="5" t="n"/>
      <c r="P101" s="4" t="n"/>
      <c r="R101" s="4" t="n"/>
      <c r="T101" s="21" t="n"/>
    </row>
    <row r="102" hidden="1">
      <c r="A102" s="21" t="n"/>
      <c r="B102" s="4" t="n"/>
      <c r="D102" s="4" t="n"/>
      <c r="E102" s="4" t="n"/>
      <c r="F102" s="4" t="n"/>
      <c r="G102" s="4" t="n"/>
      <c r="H102" s="22" t="n"/>
      <c r="L102" s="31" t="n"/>
      <c r="M102" s="4" t="n"/>
      <c r="O102" s="5" t="n"/>
      <c r="P102" s="4" t="n"/>
      <c r="R102" s="4" t="n"/>
      <c r="T102" s="21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Enrique J. Martinez Espinoza</dc:creator>
  <dcterms:created xsi:type="dcterms:W3CDTF">2026-08-21T19:31:43Z</dcterms:created>
  <dcterms:modified xsi:type="dcterms:W3CDTF">2026-09-22T15:53:33Z</dcterms:modified>
  <cp:lastModifiedBy>Maria F. Chavez Cruz</cp:lastModifiedBy>
</cp:coreProperties>
</file>